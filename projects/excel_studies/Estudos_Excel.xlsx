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8d555e653d64df/Área de Trabalho/Faculdade/"/>
    </mc:Choice>
  </mc:AlternateContent>
  <xr:revisionPtr revIDLastSave="0" documentId="8_{CF07EE61-BDAA-49DF-A6E4-41886DB7C3BB}" xr6:coauthVersionLast="47" xr6:coauthVersionMax="47" xr10:uidLastSave="{00000000-0000-0000-0000-000000000000}"/>
  <bookViews>
    <workbookView xWindow="-120" yWindow="-120" windowWidth="29040" windowHeight="15720" activeTab="2" xr2:uid="{6AACC971-2AE6-47E9-898E-A5D171C83154}"/>
  </bookViews>
  <sheets>
    <sheet name="Integração numérica - Trapézios" sheetId="1" r:id="rId1"/>
    <sheet name="Integração numérica - Simpson" sheetId="2" r:id="rId2"/>
    <sheet name="Equações Diferenciais - Euler" sheetId="3" r:id="rId3"/>
    <sheet name="Equações Diferenciais - Runge-K" sheetId="4" r:id="rId4"/>
    <sheet name="Ordem Superior - RK4" sheetId="5" r:id="rId5"/>
    <sheet name="EDDP" sheetId="6" r:id="rId6"/>
    <sheet name="EDDP - PARABOLICA" sheetId="7" r:id="rId7"/>
  </sheets>
  <calcPr calcId="191029" iterate="1" iterateCount="2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1" i="7" l="1"/>
  <c r="D691" i="7"/>
  <c r="D692" i="7" s="1"/>
  <c r="E691" i="7"/>
  <c r="F691" i="7"/>
  <c r="E692" i="7" s="1"/>
  <c r="G691" i="7"/>
  <c r="F692" i="7" s="1"/>
  <c r="H691" i="7"/>
  <c r="G692" i="7" s="1"/>
  <c r="I691" i="7"/>
  <c r="H692" i="7" s="1"/>
  <c r="J691" i="7"/>
  <c r="I692" i="7" s="1"/>
  <c r="K691" i="7"/>
  <c r="J692" i="7" s="1"/>
  <c r="L691" i="7"/>
  <c r="K692" i="7" s="1"/>
  <c r="M691" i="7"/>
  <c r="L692" i="7" s="1"/>
  <c r="M692" i="7" s="1"/>
  <c r="C692" i="7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666" i="7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D666" i="7"/>
  <c r="E666" i="7"/>
  <c r="F666" i="7"/>
  <c r="E667" i="7" s="1"/>
  <c r="G666" i="7"/>
  <c r="F667" i="7" s="1"/>
  <c r="H666" i="7"/>
  <c r="G667" i="7" s="1"/>
  <c r="H668" i="7" s="1"/>
  <c r="I666" i="7"/>
  <c r="J666" i="7"/>
  <c r="K666" i="7"/>
  <c r="L666" i="7"/>
  <c r="M666" i="7"/>
  <c r="D667" i="7"/>
  <c r="H667" i="7"/>
  <c r="I668" i="7" s="1"/>
  <c r="I667" i="7"/>
  <c r="J668" i="7" s="1"/>
  <c r="J667" i="7"/>
  <c r="K668" i="7" s="1"/>
  <c r="K667" i="7"/>
  <c r="L668" i="7" s="1"/>
  <c r="M668" i="7" s="1"/>
  <c r="L667" i="7"/>
  <c r="M667" i="7"/>
  <c r="D668" i="7"/>
  <c r="C648" i="7"/>
  <c r="D648" i="7"/>
  <c r="E648" i="7"/>
  <c r="F648" i="7"/>
  <c r="G648" i="7"/>
  <c r="H648" i="7"/>
  <c r="I648" i="7"/>
  <c r="J648" i="7"/>
  <c r="K648" i="7"/>
  <c r="L648" i="7"/>
  <c r="M648" i="7"/>
  <c r="C649" i="7"/>
  <c r="D649" i="7"/>
  <c r="E650" i="7" s="1"/>
  <c r="E649" i="7"/>
  <c r="F650" i="7" s="1"/>
  <c r="F649" i="7"/>
  <c r="G650" i="7" s="1"/>
  <c r="G649" i="7"/>
  <c r="H650" i="7" s="1"/>
  <c r="H649" i="7"/>
  <c r="I650" i="7" s="1"/>
  <c r="I649" i="7"/>
  <c r="J650" i="7" s="1"/>
  <c r="J649" i="7"/>
  <c r="K650" i="7" s="1"/>
  <c r="K649" i="7"/>
  <c r="L650" i="7" s="1"/>
  <c r="M650" i="7" s="1"/>
  <c r="L649" i="7"/>
  <c r="M649" i="7"/>
  <c r="C650" i="7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D650" i="7"/>
  <c r="E651" i="7" s="1"/>
  <c r="C580" i="7"/>
  <c r="D580" i="7"/>
  <c r="E580" i="7"/>
  <c r="F580" i="7"/>
  <c r="E581" i="7" s="1"/>
  <c r="G580" i="7"/>
  <c r="H580" i="7"/>
  <c r="I580" i="7"/>
  <c r="J580" i="7"/>
  <c r="K580" i="7"/>
  <c r="L580" i="7"/>
  <c r="M580" i="7"/>
  <c r="C581" i="7"/>
  <c r="D581" i="7"/>
  <c r="G581" i="7"/>
  <c r="H581" i="7"/>
  <c r="I581" i="7"/>
  <c r="J581" i="7"/>
  <c r="K581" i="7"/>
  <c r="L581" i="7"/>
  <c r="M581" i="7"/>
  <c r="C582" i="7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D582" i="7"/>
  <c r="H582" i="7"/>
  <c r="M141" i="7"/>
  <c r="M142" i="7"/>
  <c r="M140" i="7"/>
  <c r="L142" i="7"/>
  <c r="L141" i="7"/>
  <c r="C332" i="7"/>
  <c r="D332" i="7"/>
  <c r="C333" i="7"/>
  <c r="D333" i="7"/>
  <c r="C334" i="7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D334" i="7"/>
  <c r="C362" i="7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323" i="7"/>
  <c r="D323" i="7"/>
  <c r="C324" i="7"/>
  <c r="D324" i="7"/>
  <c r="C325" i="7"/>
  <c r="C326" i="7" s="1"/>
  <c r="C327" i="7" s="1"/>
  <c r="C328" i="7" s="1"/>
  <c r="C329" i="7" s="1"/>
  <c r="C330" i="7" s="1"/>
  <c r="C331" i="7" s="1"/>
  <c r="D325" i="7"/>
  <c r="D326" i="7" s="1"/>
  <c r="C315" i="7"/>
  <c r="C316" i="7" s="1"/>
  <c r="C317" i="7" s="1"/>
  <c r="C318" i="7" s="1"/>
  <c r="C319" i="7" s="1"/>
  <c r="C320" i="7" s="1"/>
  <c r="C321" i="7" s="1"/>
  <c r="C322" i="7" s="1"/>
  <c r="D315" i="7"/>
  <c r="D316" i="7"/>
  <c r="D317" i="7"/>
  <c r="C301" i="7"/>
  <c r="D301" i="7"/>
  <c r="C302" i="7"/>
  <c r="D302" i="7"/>
  <c r="C303" i="7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D303" i="7"/>
  <c r="C292" i="7"/>
  <c r="C293" i="7" s="1"/>
  <c r="C294" i="7" s="1"/>
  <c r="C295" i="7" s="1"/>
  <c r="C296" i="7" s="1"/>
  <c r="C297" i="7" s="1"/>
  <c r="C298" i="7" s="1"/>
  <c r="C299" i="7" s="1"/>
  <c r="C300" i="7" s="1"/>
  <c r="D292" i="7"/>
  <c r="D293" i="7"/>
  <c r="D294" i="7"/>
  <c r="D295" i="7" s="1"/>
  <c r="C285" i="7"/>
  <c r="C286" i="7" s="1"/>
  <c r="C287" i="7" s="1"/>
  <c r="C288" i="7" s="1"/>
  <c r="C289" i="7" s="1"/>
  <c r="C290" i="7" s="1"/>
  <c r="C291" i="7" s="1"/>
  <c r="D285" i="7"/>
  <c r="D286" i="7" s="1"/>
  <c r="C276" i="7"/>
  <c r="C277" i="7" s="1"/>
  <c r="C278" i="7" s="1"/>
  <c r="C279" i="7" s="1"/>
  <c r="C280" i="7" s="1"/>
  <c r="C281" i="7" s="1"/>
  <c r="C282" i="7" s="1"/>
  <c r="C283" i="7" s="1"/>
  <c r="C284" i="7" s="1"/>
  <c r="D276" i="7"/>
  <c r="D277" i="7" s="1"/>
  <c r="C268" i="7"/>
  <c r="C269" i="7" s="1"/>
  <c r="C270" i="7" s="1"/>
  <c r="C271" i="7" s="1"/>
  <c r="C272" i="7" s="1"/>
  <c r="C273" i="7" s="1"/>
  <c r="C274" i="7" s="1"/>
  <c r="C275" i="7" s="1"/>
  <c r="D268" i="7"/>
  <c r="D269" i="7" s="1"/>
  <c r="C263" i="7"/>
  <c r="C264" i="7" s="1"/>
  <c r="C265" i="7" s="1"/>
  <c r="C266" i="7" s="1"/>
  <c r="C267" i="7" s="1"/>
  <c r="D263" i="7"/>
  <c r="D264" i="7" s="1"/>
  <c r="C256" i="7"/>
  <c r="D256" i="7"/>
  <c r="C257" i="7"/>
  <c r="C258" i="7" s="1"/>
  <c r="C259" i="7" s="1"/>
  <c r="C260" i="7" s="1"/>
  <c r="C261" i="7" s="1"/>
  <c r="C262" i="7" s="1"/>
  <c r="D257" i="7"/>
  <c r="D258" i="7" s="1"/>
  <c r="C142" i="7"/>
  <c r="C143" i="7"/>
  <c r="C144" i="7"/>
  <c r="C145" i="7"/>
  <c r="C146" i="7"/>
  <c r="C147" i="7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141" i="7"/>
  <c r="I142" i="7"/>
  <c r="H142" i="7"/>
  <c r="G142" i="7"/>
  <c r="H143" i="7" s="1"/>
  <c r="F142" i="7"/>
  <c r="G143" i="7" s="1"/>
  <c r="E142" i="7"/>
  <c r="F143" i="7" s="1"/>
  <c r="G144" i="7" s="1"/>
  <c r="D142" i="7"/>
  <c r="D143" i="7" s="1"/>
  <c r="K141" i="7"/>
  <c r="J142" i="7" s="1"/>
  <c r="J141" i="7"/>
  <c r="I141" i="7"/>
  <c r="H141" i="7"/>
  <c r="G141" i="7"/>
  <c r="F141" i="7"/>
  <c r="E141" i="7"/>
  <c r="D141" i="7"/>
  <c r="C120" i="7"/>
  <c r="D120" i="7"/>
  <c r="E120" i="7"/>
  <c r="F120" i="7"/>
  <c r="G120" i="7"/>
  <c r="H120" i="7"/>
  <c r="I120" i="7"/>
  <c r="J120" i="7"/>
  <c r="K120" i="7"/>
  <c r="L120" i="7"/>
  <c r="C112" i="7"/>
  <c r="C113" i="7" s="1"/>
  <c r="C114" i="7" s="1"/>
  <c r="C115" i="7" s="1"/>
  <c r="C116" i="7" s="1"/>
  <c r="C117" i="7" s="1"/>
  <c r="C118" i="7" s="1"/>
  <c r="C119" i="7" s="1"/>
  <c r="D112" i="7"/>
  <c r="D113" i="7" s="1"/>
  <c r="E112" i="7"/>
  <c r="F113" i="7" s="1"/>
  <c r="G114" i="7" s="1"/>
  <c r="H115" i="7" s="1"/>
  <c r="I116" i="7" s="1"/>
  <c r="J117" i="7" s="1"/>
  <c r="K118" i="7" s="1"/>
  <c r="F112" i="7"/>
  <c r="G113" i="7" s="1"/>
  <c r="H114" i="7" s="1"/>
  <c r="I115" i="7" s="1"/>
  <c r="J116" i="7" s="1"/>
  <c r="K117" i="7" s="1"/>
  <c r="G112" i="7"/>
  <c r="H112" i="7"/>
  <c r="I112" i="7"/>
  <c r="J112" i="7"/>
  <c r="K112" i="7"/>
  <c r="L112" i="7"/>
  <c r="H113" i="7"/>
  <c r="I113" i="7"/>
  <c r="J113" i="7"/>
  <c r="K114" i="7" s="1"/>
  <c r="K113" i="7"/>
  <c r="L113" i="7"/>
  <c r="L114" i="7" s="1"/>
  <c r="L115" i="7" s="1"/>
  <c r="L116" i="7" s="1"/>
  <c r="L117" i="7" s="1"/>
  <c r="L118" i="7" s="1"/>
  <c r="L119" i="7" s="1"/>
  <c r="I114" i="7"/>
  <c r="J115" i="7" s="1"/>
  <c r="K116" i="7" s="1"/>
  <c r="J114" i="7"/>
  <c r="K115" i="7" s="1"/>
  <c r="C103" i="7"/>
  <c r="D103" i="7"/>
  <c r="E103" i="7"/>
  <c r="F103" i="7"/>
  <c r="G103" i="7"/>
  <c r="H103" i="7"/>
  <c r="I103" i="7"/>
  <c r="J103" i="7"/>
  <c r="K103" i="7"/>
  <c r="L103" i="7"/>
  <c r="C104" i="7"/>
  <c r="D104" i="7"/>
  <c r="E104" i="7"/>
  <c r="F104" i="7"/>
  <c r="G105" i="7" s="1"/>
  <c r="G104" i="7"/>
  <c r="H105" i="7" s="1"/>
  <c r="H104" i="7"/>
  <c r="I105" i="7" s="1"/>
  <c r="I104" i="7"/>
  <c r="J105" i="7" s="1"/>
  <c r="J104" i="7"/>
  <c r="K105" i="7" s="1"/>
  <c r="K104" i="7"/>
  <c r="L104" i="7"/>
  <c r="L105" i="7" s="1"/>
  <c r="L106" i="7" s="1"/>
  <c r="L107" i="7" s="1"/>
  <c r="L108" i="7" s="1"/>
  <c r="L109" i="7" s="1"/>
  <c r="L110" i="7" s="1"/>
  <c r="L111" i="7" s="1"/>
  <c r="C105" i="7"/>
  <c r="C106" i="7" s="1"/>
  <c r="C107" i="7" s="1"/>
  <c r="C108" i="7" s="1"/>
  <c r="C109" i="7" s="1"/>
  <c r="C110" i="7" s="1"/>
  <c r="C111" i="7" s="1"/>
  <c r="D105" i="7"/>
  <c r="D106" i="7" s="1"/>
  <c r="E105" i="7"/>
  <c r="F106" i="7" s="1"/>
  <c r="F105" i="7"/>
  <c r="G106" i="7" s="1"/>
  <c r="C9" i="7"/>
  <c r="D9" i="7"/>
  <c r="E9" i="7"/>
  <c r="F9" i="7"/>
  <c r="G9" i="7"/>
  <c r="H9" i="7"/>
  <c r="I9" i="7"/>
  <c r="J9" i="7"/>
  <c r="K9" i="7"/>
  <c r="L9" i="7"/>
  <c r="C10" i="7"/>
  <c r="D10" i="7"/>
  <c r="E10" i="7"/>
  <c r="F10" i="7"/>
  <c r="G10" i="7"/>
  <c r="H10" i="7"/>
  <c r="I10" i="7"/>
  <c r="J10" i="7"/>
  <c r="K10" i="7"/>
  <c r="L10" i="7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C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D11" i="7"/>
  <c r="E11" i="7"/>
  <c r="F11" i="7"/>
  <c r="L6" i="7"/>
  <c r="L7" i="7"/>
  <c r="L8" i="7"/>
  <c r="L5" i="7"/>
  <c r="D6" i="7"/>
  <c r="D7" i="7"/>
  <c r="D8" i="7"/>
  <c r="D5" i="7"/>
  <c r="E7" i="7"/>
  <c r="F8" i="7" s="1"/>
  <c r="F7" i="7"/>
  <c r="G7" i="7"/>
  <c r="H7" i="7"/>
  <c r="I7" i="7"/>
  <c r="J7" i="7"/>
  <c r="K7" i="7"/>
  <c r="J8" i="7" s="1"/>
  <c r="E8" i="7"/>
  <c r="G8" i="7"/>
  <c r="H8" i="7"/>
  <c r="I8" i="7"/>
  <c r="K8" i="7"/>
  <c r="F6" i="7"/>
  <c r="G6" i="7"/>
  <c r="H6" i="7"/>
  <c r="I6" i="7"/>
  <c r="J6" i="7"/>
  <c r="K6" i="7"/>
  <c r="E6" i="7"/>
  <c r="F5" i="7"/>
  <c r="G5" i="7"/>
  <c r="H5" i="7"/>
  <c r="I5" i="7"/>
  <c r="J5" i="7"/>
  <c r="K5" i="7"/>
  <c r="E5" i="7"/>
  <c r="C6" i="7"/>
  <c r="C7" i="7" s="1"/>
  <c r="C8" i="7" s="1"/>
  <c r="C5" i="7"/>
  <c r="D40" i="5"/>
  <c r="D41" i="5"/>
  <c r="D42" i="5"/>
  <c r="D43" i="5"/>
  <c r="D44" i="5"/>
  <c r="D45" i="5"/>
  <c r="D46" i="5"/>
  <c r="D47" i="5"/>
  <c r="D48" i="5"/>
  <c r="D39" i="5"/>
  <c r="K39" i="5"/>
  <c r="L39" i="5" s="1"/>
  <c r="G39" i="5"/>
  <c r="N38" i="5"/>
  <c r="M38" i="5"/>
  <c r="L38" i="5"/>
  <c r="K38" i="5"/>
  <c r="H38" i="5" s="1"/>
  <c r="G38" i="5"/>
  <c r="T38" i="5"/>
  <c r="D38" i="5"/>
  <c r="N7" i="5"/>
  <c r="N6" i="5"/>
  <c r="M6" i="5"/>
  <c r="L6" i="5"/>
  <c r="K6" i="5"/>
  <c r="H6" i="4"/>
  <c r="H6" i="5"/>
  <c r="G6" i="5"/>
  <c r="D8" i="5"/>
  <c r="D9" i="5"/>
  <c r="D10" i="5"/>
  <c r="D11" i="5" s="1"/>
  <c r="D12" i="5" s="1"/>
  <c r="D13" i="5" s="1"/>
  <c r="D14" i="5" s="1"/>
  <c r="D15" i="5" s="1"/>
  <c r="D16" i="5" s="1"/>
  <c r="D6" i="5"/>
  <c r="T6" i="5"/>
  <c r="D7" i="5" s="1"/>
  <c r="J7" i="4"/>
  <c r="K7" i="4" s="1"/>
  <c r="J8" i="4"/>
  <c r="J9" i="4"/>
  <c r="J10" i="4"/>
  <c r="J11" i="4"/>
  <c r="J12" i="4"/>
  <c r="J13" i="4"/>
  <c r="J14" i="4"/>
  <c r="J15" i="4"/>
  <c r="J16" i="4"/>
  <c r="J6" i="4"/>
  <c r="K8" i="4"/>
  <c r="K9" i="4"/>
  <c r="K10" i="4"/>
  <c r="K11" i="4"/>
  <c r="K12" i="4"/>
  <c r="K13" i="4"/>
  <c r="K14" i="4"/>
  <c r="K15" i="4"/>
  <c r="K16" i="4"/>
  <c r="K6" i="4"/>
  <c r="E16" i="4"/>
  <c r="D16" i="4"/>
  <c r="H8" i="3"/>
  <c r="H9" i="3"/>
  <c r="H10" i="3"/>
  <c r="H11" i="3"/>
  <c r="H12" i="3"/>
  <c r="H13" i="3"/>
  <c r="H14" i="3"/>
  <c r="H15" i="3"/>
  <c r="H16" i="3"/>
  <c r="P6" i="4"/>
  <c r="D6" i="4"/>
  <c r="H7" i="3"/>
  <c r="F6" i="3"/>
  <c r="N6" i="3"/>
  <c r="E7" i="3" s="1"/>
  <c r="D6" i="3"/>
  <c r="G6" i="3" s="1"/>
  <c r="D16" i="3"/>
  <c r="G16" i="3" s="1"/>
  <c r="C45" i="2"/>
  <c r="C46" i="2" s="1"/>
  <c r="C47" i="2" s="1"/>
  <c r="C48" i="2" s="1"/>
  <c r="C49" i="2"/>
  <c r="J43" i="2"/>
  <c r="F43" i="2"/>
  <c r="G48" i="2"/>
  <c r="G47" i="2"/>
  <c r="G46" i="2"/>
  <c r="G45" i="2"/>
  <c r="G44" i="2"/>
  <c r="N43" i="2"/>
  <c r="C43" i="2"/>
  <c r="E10" i="2"/>
  <c r="E11" i="2"/>
  <c r="E12" i="2"/>
  <c r="E13" i="2"/>
  <c r="E9" i="2"/>
  <c r="C14" i="2"/>
  <c r="D14" i="2" s="1"/>
  <c r="C8" i="2"/>
  <c r="D8" i="2"/>
  <c r="J8" i="2"/>
  <c r="F8" i="2"/>
  <c r="C50" i="1"/>
  <c r="C51" i="1" s="1"/>
  <c r="C52" i="1" s="1"/>
  <c r="C53" i="1" s="1"/>
  <c r="C54" i="1" s="1"/>
  <c r="C49" i="1"/>
  <c r="I48" i="1"/>
  <c r="F48" i="1"/>
  <c r="I10" i="1"/>
  <c r="J6" i="1"/>
  <c r="F20" i="1"/>
  <c r="F7" i="1"/>
  <c r="F8" i="1"/>
  <c r="F9" i="1"/>
  <c r="F10" i="1"/>
  <c r="F11" i="1"/>
  <c r="F12" i="1"/>
  <c r="F13" i="1"/>
  <c r="F14" i="1"/>
  <c r="F15" i="1"/>
  <c r="F16" i="1"/>
  <c r="F17" i="1"/>
  <c r="F18" i="1"/>
  <c r="F6" i="1"/>
  <c r="H6" i="1"/>
  <c r="D18" i="1"/>
  <c r="D6" i="1"/>
  <c r="I6" i="1"/>
  <c r="C7" i="1" s="1"/>
  <c r="K693" i="7" l="1"/>
  <c r="J693" i="7"/>
  <c r="G693" i="7"/>
  <c r="E693" i="7"/>
  <c r="F694" i="7" s="1"/>
  <c r="D693" i="7"/>
  <c r="L693" i="7"/>
  <c r="M693" i="7" s="1"/>
  <c r="I693" i="7"/>
  <c r="J694" i="7" s="1"/>
  <c r="H693" i="7"/>
  <c r="I694" i="7" s="1"/>
  <c r="F693" i="7"/>
  <c r="G694" i="7" s="1"/>
  <c r="H695" i="7" s="1"/>
  <c r="L669" i="7"/>
  <c r="M669" i="7" s="1"/>
  <c r="K669" i="7"/>
  <c r="L670" i="7" s="1"/>
  <c r="M670" i="7" s="1"/>
  <c r="J669" i="7"/>
  <c r="K670" i="7" s="1"/>
  <c r="L671" i="7" s="1"/>
  <c r="M671" i="7" s="1"/>
  <c r="I669" i="7"/>
  <c r="J670" i="7" s="1"/>
  <c r="K671" i="7" s="1"/>
  <c r="L672" i="7" s="1"/>
  <c r="M672" i="7" s="1"/>
  <c r="E668" i="7"/>
  <c r="G668" i="7"/>
  <c r="H669" i="7" s="1"/>
  <c r="I670" i="7" s="1"/>
  <c r="J671" i="7" s="1"/>
  <c r="K672" i="7" s="1"/>
  <c r="L673" i="7" s="1"/>
  <c r="M673" i="7" s="1"/>
  <c r="F668" i="7"/>
  <c r="G669" i="7" s="1"/>
  <c r="H670" i="7" s="1"/>
  <c r="I671" i="7" s="1"/>
  <c r="J672" i="7" s="1"/>
  <c r="K673" i="7" s="1"/>
  <c r="L674" i="7" s="1"/>
  <c r="M674" i="7" s="1"/>
  <c r="D669" i="7"/>
  <c r="K651" i="7"/>
  <c r="I651" i="7"/>
  <c r="J652" i="7" s="1"/>
  <c r="G651" i="7"/>
  <c r="H652" i="7" s="1"/>
  <c r="I653" i="7" s="1"/>
  <c r="L651" i="7"/>
  <c r="M651" i="7" s="1"/>
  <c r="J651" i="7"/>
  <c r="K652" i="7" s="1"/>
  <c r="H651" i="7"/>
  <c r="I652" i="7" s="1"/>
  <c r="J653" i="7" s="1"/>
  <c r="F651" i="7"/>
  <c r="G652" i="7" s="1"/>
  <c r="H653" i="7" s="1"/>
  <c r="I654" i="7" s="1"/>
  <c r="D651" i="7"/>
  <c r="J582" i="7"/>
  <c r="I582" i="7"/>
  <c r="D583" i="7"/>
  <c r="L582" i="7"/>
  <c r="M582" i="7" s="1"/>
  <c r="K582" i="7"/>
  <c r="L583" i="7" s="1"/>
  <c r="M583" i="7" s="1"/>
  <c r="F582" i="7"/>
  <c r="G583" i="7" s="1"/>
  <c r="F581" i="7"/>
  <c r="G582" i="7" s="1"/>
  <c r="H583" i="7" s="1"/>
  <c r="D335" i="7"/>
  <c r="D327" i="7"/>
  <c r="D318" i="7"/>
  <c r="D304" i="7"/>
  <c r="D296" i="7"/>
  <c r="D287" i="7"/>
  <c r="D278" i="7"/>
  <c r="D270" i="7"/>
  <c r="D265" i="7"/>
  <c r="D259" i="7"/>
  <c r="I143" i="7"/>
  <c r="H144" i="7" s="1"/>
  <c r="K142" i="7"/>
  <c r="L143" i="7" s="1"/>
  <c r="M143" i="7" s="1"/>
  <c r="D144" i="7"/>
  <c r="E144" i="7"/>
  <c r="F145" i="7" s="1"/>
  <c r="E143" i="7"/>
  <c r="F144" i="7" s="1"/>
  <c r="E114" i="7"/>
  <c r="F115" i="7" s="1"/>
  <c r="G116" i="7" s="1"/>
  <c r="H117" i="7" s="1"/>
  <c r="I118" i="7" s="1"/>
  <c r="J119" i="7" s="1"/>
  <c r="D114" i="7"/>
  <c r="E113" i="7"/>
  <c r="F114" i="7" s="1"/>
  <c r="G115" i="7" s="1"/>
  <c r="H116" i="7" s="1"/>
  <c r="I117" i="7" s="1"/>
  <c r="J118" i="7" s="1"/>
  <c r="K119" i="7" s="1"/>
  <c r="G107" i="7"/>
  <c r="H108" i="7" s="1"/>
  <c r="I109" i="7" s="1"/>
  <c r="J110" i="7" s="1"/>
  <c r="K111" i="7" s="1"/>
  <c r="D107" i="7"/>
  <c r="E107" i="7"/>
  <c r="F108" i="7" s="1"/>
  <c r="G109" i="7" s="1"/>
  <c r="H110" i="7" s="1"/>
  <c r="I111" i="7" s="1"/>
  <c r="K106" i="7"/>
  <c r="I106" i="7"/>
  <c r="J106" i="7"/>
  <c r="K107" i="7" s="1"/>
  <c r="H107" i="7"/>
  <c r="H106" i="7"/>
  <c r="I107" i="7" s="1"/>
  <c r="J108" i="7" s="1"/>
  <c r="K109" i="7" s="1"/>
  <c r="E106" i="7"/>
  <c r="F107" i="7" s="1"/>
  <c r="G108" i="7" s="1"/>
  <c r="D12" i="7"/>
  <c r="E12" i="7"/>
  <c r="K11" i="7"/>
  <c r="G11" i="7"/>
  <c r="J11" i="7"/>
  <c r="K12" i="7" s="1"/>
  <c r="H11" i="7"/>
  <c r="I12" i="7" s="1"/>
  <c r="J13" i="7" s="1"/>
  <c r="K14" i="7" s="1"/>
  <c r="I11" i="7"/>
  <c r="J12" i="7" s="1"/>
  <c r="K13" i="7" s="1"/>
  <c r="I39" i="5"/>
  <c r="H39" i="5"/>
  <c r="M39" i="5" s="1"/>
  <c r="I38" i="5"/>
  <c r="I6" i="5"/>
  <c r="D7" i="4"/>
  <c r="E6" i="4"/>
  <c r="E6" i="3"/>
  <c r="D43" i="2"/>
  <c r="H43" i="2" s="1"/>
  <c r="F50" i="1"/>
  <c r="F49" i="1"/>
  <c r="C8" i="1"/>
  <c r="D7" i="1"/>
  <c r="D694" i="7" l="1"/>
  <c r="E694" i="7"/>
  <c r="F695" i="7" s="1"/>
  <c r="G696" i="7" s="1"/>
  <c r="H694" i="7"/>
  <c r="I695" i="7" s="1"/>
  <c r="K694" i="7"/>
  <c r="L694" i="7"/>
  <c r="M694" i="7" s="1"/>
  <c r="D670" i="7"/>
  <c r="E670" i="7"/>
  <c r="F671" i="7" s="1"/>
  <c r="G672" i="7" s="1"/>
  <c r="H673" i="7" s="1"/>
  <c r="I674" i="7" s="1"/>
  <c r="J675" i="7" s="1"/>
  <c r="K676" i="7" s="1"/>
  <c r="L677" i="7" s="1"/>
  <c r="M677" i="7" s="1"/>
  <c r="F669" i="7"/>
  <c r="G670" i="7" s="1"/>
  <c r="H671" i="7" s="1"/>
  <c r="I672" i="7" s="1"/>
  <c r="J673" i="7" s="1"/>
  <c r="K674" i="7" s="1"/>
  <c r="L675" i="7" s="1"/>
  <c r="M675" i="7" s="1"/>
  <c r="E669" i="7"/>
  <c r="F670" i="7" s="1"/>
  <c r="G671" i="7" s="1"/>
  <c r="H672" i="7" s="1"/>
  <c r="I673" i="7" s="1"/>
  <c r="J674" i="7" s="1"/>
  <c r="K675" i="7" s="1"/>
  <c r="L676" i="7" s="1"/>
  <c r="M676" i="7" s="1"/>
  <c r="E652" i="7"/>
  <c r="F653" i="7" s="1"/>
  <c r="G654" i="7" s="1"/>
  <c r="H655" i="7" s="1"/>
  <c r="D652" i="7"/>
  <c r="L652" i="7"/>
  <c r="M652" i="7" s="1"/>
  <c r="L653" i="7" s="1"/>
  <c r="F652" i="7"/>
  <c r="G653" i="7" s="1"/>
  <c r="H654" i="7" s="1"/>
  <c r="E582" i="7"/>
  <c r="F583" i="7" s="1"/>
  <c r="G584" i="7" s="1"/>
  <c r="E583" i="7"/>
  <c r="F584" i="7" s="1"/>
  <c r="D584" i="7"/>
  <c r="E584" i="7"/>
  <c r="F585" i="7" s="1"/>
  <c r="J583" i="7"/>
  <c r="K584" i="7" s="1"/>
  <c r="K583" i="7"/>
  <c r="L584" i="7" s="1"/>
  <c r="M584" i="7" s="1"/>
  <c r="I583" i="7"/>
  <c r="J584" i="7" s="1"/>
  <c r="K585" i="7" s="1"/>
  <c r="J143" i="7"/>
  <c r="I144" i="7" s="1"/>
  <c r="D336" i="7"/>
  <c r="D328" i="7"/>
  <c r="D319" i="7"/>
  <c r="D305" i="7"/>
  <c r="D297" i="7"/>
  <c r="D288" i="7"/>
  <c r="D279" i="7"/>
  <c r="D271" i="7"/>
  <c r="D266" i="7"/>
  <c r="D260" i="7"/>
  <c r="G145" i="7"/>
  <c r="K143" i="7"/>
  <c r="L144" i="7" s="1"/>
  <c r="M144" i="7" s="1"/>
  <c r="E145" i="7"/>
  <c r="D145" i="7"/>
  <c r="D115" i="7"/>
  <c r="E115" i="7"/>
  <c r="F116" i="7" s="1"/>
  <c r="G117" i="7" s="1"/>
  <c r="H118" i="7" s="1"/>
  <c r="I119" i="7" s="1"/>
  <c r="D108" i="7"/>
  <c r="E108" i="7"/>
  <c r="F109" i="7" s="1"/>
  <c r="J107" i="7"/>
  <c r="K108" i="7" s="1"/>
  <c r="H12" i="7"/>
  <c r="I13" i="7" s="1"/>
  <c r="J14" i="7" s="1"/>
  <c r="K15" i="7" s="1"/>
  <c r="G12" i="7"/>
  <c r="H13" i="7" s="1"/>
  <c r="I14" i="7" s="1"/>
  <c r="J15" i="7" s="1"/>
  <c r="K16" i="7" s="1"/>
  <c r="F12" i="7"/>
  <c r="G13" i="7" s="1"/>
  <c r="H14" i="7" s="1"/>
  <c r="I15" i="7" s="1"/>
  <c r="J16" i="7" s="1"/>
  <c r="K17" i="7" s="1"/>
  <c r="F13" i="7"/>
  <c r="G14" i="7" s="1"/>
  <c r="H15" i="7" s="1"/>
  <c r="I16" i="7" s="1"/>
  <c r="J17" i="7" s="1"/>
  <c r="K18" i="7" s="1"/>
  <c r="D13" i="7"/>
  <c r="E13" i="7"/>
  <c r="F14" i="7" s="1"/>
  <c r="G15" i="7" s="1"/>
  <c r="H16" i="7" s="1"/>
  <c r="I17" i="7" s="1"/>
  <c r="J18" i="7" s="1"/>
  <c r="K19" i="7" s="1"/>
  <c r="N39" i="5"/>
  <c r="J39" i="5"/>
  <c r="J38" i="5"/>
  <c r="F7" i="5"/>
  <c r="J6" i="5"/>
  <c r="F6" i="4"/>
  <c r="G6" i="4" s="1"/>
  <c r="I6" i="4" s="1"/>
  <c r="E7" i="4" s="1"/>
  <c r="D8" i="4"/>
  <c r="F7" i="3"/>
  <c r="F51" i="1"/>
  <c r="D8" i="1"/>
  <c r="C9" i="1"/>
  <c r="L695" i="7" l="1"/>
  <c r="M695" i="7" s="1"/>
  <c r="G695" i="7"/>
  <c r="H696" i="7" s="1"/>
  <c r="D695" i="7"/>
  <c r="E695" i="7"/>
  <c r="F696" i="7" s="1"/>
  <c r="G697" i="7" s="1"/>
  <c r="K695" i="7"/>
  <c r="L696" i="7" s="1"/>
  <c r="M696" i="7" s="1"/>
  <c r="J695" i="7"/>
  <c r="D671" i="7"/>
  <c r="E671" i="7"/>
  <c r="F672" i="7" s="1"/>
  <c r="G673" i="7" s="1"/>
  <c r="H674" i="7" s="1"/>
  <c r="I675" i="7" s="1"/>
  <c r="J676" i="7" s="1"/>
  <c r="K677" i="7" s="1"/>
  <c r="L678" i="7" s="1"/>
  <c r="M678" i="7" s="1"/>
  <c r="M653" i="7"/>
  <c r="K654" i="7"/>
  <c r="K653" i="7"/>
  <c r="D653" i="7"/>
  <c r="E653" i="7"/>
  <c r="F654" i="7" s="1"/>
  <c r="G655" i="7" s="1"/>
  <c r="L585" i="7"/>
  <c r="M585" i="7" s="1"/>
  <c r="L586" i="7" s="1"/>
  <c r="M586" i="7" s="1"/>
  <c r="H584" i="7"/>
  <c r="I585" i="7" s="1"/>
  <c r="J586" i="7" s="1"/>
  <c r="D585" i="7"/>
  <c r="E585" i="7"/>
  <c r="F586" i="7" s="1"/>
  <c r="G587" i="7" s="1"/>
  <c r="H588" i="7" s="1"/>
  <c r="G585" i="7"/>
  <c r="H586" i="7" s="1"/>
  <c r="I587" i="7" s="1"/>
  <c r="I584" i="7"/>
  <c r="J585" i="7" s="1"/>
  <c r="K586" i="7" s="1"/>
  <c r="D337" i="7"/>
  <c r="D329" i="7"/>
  <c r="D320" i="7"/>
  <c r="D306" i="7"/>
  <c r="D298" i="7"/>
  <c r="D289" i="7"/>
  <c r="D280" i="7"/>
  <c r="D272" i="7"/>
  <c r="D267" i="7"/>
  <c r="D261" i="7"/>
  <c r="J144" i="7"/>
  <c r="K144" i="7"/>
  <c r="L145" i="7" s="1"/>
  <c r="M145" i="7" s="1"/>
  <c r="F146" i="7"/>
  <c r="E146" i="7"/>
  <c r="D146" i="7"/>
  <c r="H145" i="7"/>
  <c r="E116" i="7"/>
  <c r="F117" i="7" s="1"/>
  <c r="G118" i="7" s="1"/>
  <c r="H119" i="7" s="1"/>
  <c r="D116" i="7"/>
  <c r="I108" i="7"/>
  <c r="E109" i="7"/>
  <c r="F110" i="7" s="1"/>
  <c r="G111" i="7" s="1"/>
  <c r="D109" i="7"/>
  <c r="D14" i="7"/>
  <c r="E14" i="7"/>
  <c r="F15" i="7" s="1"/>
  <c r="G16" i="7" s="1"/>
  <c r="H17" i="7" s="1"/>
  <c r="I18" i="7" s="1"/>
  <c r="J19" i="7" s="1"/>
  <c r="K20" i="7" s="1"/>
  <c r="F39" i="5"/>
  <c r="E39" i="5"/>
  <c r="G7" i="5"/>
  <c r="F7" i="4"/>
  <c r="G7" i="4"/>
  <c r="D9" i="4"/>
  <c r="F52" i="1"/>
  <c r="D9" i="1"/>
  <c r="C10" i="1"/>
  <c r="K696" i="7" l="1"/>
  <c r="L697" i="7" s="1"/>
  <c r="M697" i="7" s="1"/>
  <c r="I696" i="7"/>
  <c r="D696" i="7"/>
  <c r="E696" i="7"/>
  <c r="F697" i="7" s="1"/>
  <c r="J696" i="7"/>
  <c r="K697" i="7" s="1"/>
  <c r="L698" i="7" s="1"/>
  <c r="M698" i="7" s="1"/>
  <c r="E672" i="7"/>
  <c r="F673" i="7" s="1"/>
  <c r="G674" i="7" s="1"/>
  <c r="H675" i="7" s="1"/>
  <c r="I676" i="7" s="1"/>
  <c r="J677" i="7" s="1"/>
  <c r="K678" i="7" s="1"/>
  <c r="L679" i="7" s="1"/>
  <c r="M679" i="7" s="1"/>
  <c r="D672" i="7"/>
  <c r="D654" i="7"/>
  <c r="E654" i="7"/>
  <c r="F655" i="7" s="1"/>
  <c r="G656" i="7" s="1"/>
  <c r="L654" i="7"/>
  <c r="M654" i="7" s="1"/>
  <c r="J654" i="7"/>
  <c r="L655" i="7"/>
  <c r="M655" i="7" s="1"/>
  <c r="J655" i="7"/>
  <c r="L587" i="7"/>
  <c r="M587" i="7" s="1"/>
  <c r="H585" i="7"/>
  <c r="D586" i="7"/>
  <c r="E586" i="7"/>
  <c r="K587" i="7"/>
  <c r="L588" i="7" s="1"/>
  <c r="M588" i="7" s="1"/>
  <c r="J145" i="7"/>
  <c r="I146" i="7" s="1"/>
  <c r="D338" i="7"/>
  <c r="D330" i="7"/>
  <c r="D321" i="7"/>
  <c r="D307" i="7"/>
  <c r="D299" i="7"/>
  <c r="D290" i="7"/>
  <c r="D281" i="7"/>
  <c r="D273" i="7"/>
  <c r="D262" i="7"/>
  <c r="K145" i="7"/>
  <c r="I145" i="7"/>
  <c r="G146" i="7"/>
  <c r="E147" i="7"/>
  <c r="D147" i="7"/>
  <c r="F147" i="7"/>
  <c r="E117" i="7"/>
  <c r="F118" i="7" s="1"/>
  <c r="G119" i="7" s="1"/>
  <c r="D117" i="7"/>
  <c r="E110" i="7"/>
  <c r="D110" i="7"/>
  <c r="J109" i="7"/>
  <c r="K110" i="7" s="1"/>
  <c r="H109" i="7"/>
  <c r="D15" i="7"/>
  <c r="E15" i="7"/>
  <c r="F16" i="7" s="1"/>
  <c r="G17" i="7" s="1"/>
  <c r="H18" i="7" s="1"/>
  <c r="I19" i="7" s="1"/>
  <c r="J20" i="7" s="1"/>
  <c r="K21" i="7" s="1"/>
  <c r="H7" i="4"/>
  <c r="I7" i="4" s="1"/>
  <c r="D10" i="4"/>
  <c r="K8" i="2"/>
  <c r="C9" i="2" s="1"/>
  <c r="F53" i="1"/>
  <c r="C11" i="1"/>
  <c r="D10" i="1"/>
  <c r="I697" i="7" l="1"/>
  <c r="D697" i="7"/>
  <c r="E697" i="7"/>
  <c r="F698" i="7" s="1"/>
  <c r="J697" i="7"/>
  <c r="K698" i="7" s="1"/>
  <c r="L699" i="7" s="1"/>
  <c r="M699" i="7" s="1"/>
  <c r="H697" i="7"/>
  <c r="I698" i="7" s="1"/>
  <c r="J699" i="7" s="1"/>
  <c r="K700" i="7" s="1"/>
  <c r="D673" i="7"/>
  <c r="E673" i="7"/>
  <c r="F674" i="7" s="1"/>
  <c r="G675" i="7" s="1"/>
  <c r="H676" i="7" s="1"/>
  <c r="I677" i="7" s="1"/>
  <c r="J678" i="7" s="1"/>
  <c r="K679" i="7" s="1"/>
  <c r="L680" i="7" s="1"/>
  <c r="M680" i="7" s="1"/>
  <c r="K655" i="7"/>
  <c r="L656" i="7" s="1"/>
  <c r="M656" i="7" s="1"/>
  <c r="I655" i="7"/>
  <c r="K656" i="7"/>
  <c r="L657" i="7" s="1"/>
  <c r="M657" i="7" s="1"/>
  <c r="I656" i="7"/>
  <c r="J657" i="7" s="1"/>
  <c r="K658" i="7" s="1"/>
  <c r="D655" i="7"/>
  <c r="E655" i="7"/>
  <c r="F656" i="7" s="1"/>
  <c r="D587" i="7"/>
  <c r="E587" i="7"/>
  <c r="F588" i="7" s="1"/>
  <c r="G589" i="7" s="1"/>
  <c r="J588" i="7"/>
  <c r="I586" i="7"/>
  <c r="J587" i="7" s="1"/>
  <c r="K588" i="7" s="1"/>
  <c r="L589" i="7" s="1"/>
  <c r="M589" i="7" s="1"/>
  <c r="G586" i="7"/>
  <c r="H587" i="7" s="1"/>
  <c r="I588" i="7" s="1"/>
  <c r="J589" i="7" s="1"/>
  <c r="K590" i="7" s="1"/>
  <c r="H147" i="7"/>
  <c r="G148" i="7" s="1"/>
  <c r="K146" i="7"/>
  <c r="L146" i="7"/>
  <c r="M146" i="7" s="1"/>
  <c r="D339" i="7"/>
  <c r="D331" i="7"/>
  <c r="D322" i="7"/>
  <c r="D308" i="7"/>
  <c r="D300" i="7"/>
  <c r="D291" i="7"/>
  <c r="D282" i="7"/>
  <c r="D274" i="7"/>
  <c r="J147" i="7"/>
  <c r="J146" i="7"/>
  <c r="K147" i="7" s="1"/>
  <c r="H146" i="7"/>
  <c r="D148" i="7"/>
  <c r="E148" i="7"/>
  <c r="E118" i="7"/>
  <c r="F119" i="7" s="1"/>
  <c r="D118" i="7"/>
  <c r="I110" i="7"/>
  <c r="J111" i="7" s="1"/>
  <c r="G110" i="7"/>
  <c r="H111" i="7" s="1"/>
  <c r="E111" i="7"/>
  <c r="D111" i="7"/>
  <c r="F111" i="7"/>
  <c r="E16" i="7"/>
  <c r="F17" i="7" s="1"/>
  <c r="G18" i="7" s="1"/>
  <c r="H19" i="7" s="1"/>
  <c r="I20" i="7" s="1"/>
  <c r="J21" i="7" s="1"/>
  <c r="K22" i="7" s="1"/>
  <c r="D16" i="7"/>
  <c r="E8" i="4"/>
  <c r="D11" i="4"/>
  <c r="C10" i="2"/>
  <c r="D9" i="2"/>
  <c r="F9" i="2" s="1"/>
  <c r="F14" i="2"/>
  <c r="F54" i="1"/>
  <c r="C12" i="1"/>
  <c r="D11" i="1"/>
  <c r="D698" i="7" l="1"/>
  <c r="E698" i="7"/>
  <c r="G698" i="7"/>
  <c r="H699" i="7" s="1"/>
  <c r="I700" i="7" s="1"/>
  <c r="J701" i="7" s="1"/>
  <c r="J698" i="7"/>
  <c r="K699" i="7" s="1"/>
  <c r="L700" i="7" s="1"/>
  <c r="M700" i="7" s="1"/>
  <c r="L701" i="7" s="1"/>
  <c r="M701" i="7" s="1"/>
  <c r="H698" i="7"/>
  <c r="I699" i="7" s="1"/>
  <c r="J700" i="7" s="1"/>
  <c r="K701" i="7" s="1"/>
  <c r="D674" i="7"/>
  <c r="E674" i="7"/>
  <c r="F675" i="7" s="1"/>
  <c r="G676" i="7" s="1"/>
  <c r="H677" i="7" s="1"/>
  <c r="I678" i="7" s="1"/>
  <c r="J679" i="7" s="1"/>
  <c r="K680" i="7" s="1"/>
  <c r="L681" i="7" s="1"/>
  <c r="M681" i="7" s="1"/>
  <c r="E656" i="7"/>
  <c r="F657" i="7" s="1"/>
  <c r="D656" i="7"/>
  <c r="H657" i="7"/>
  <c r="I658" i="7" s="1"/>
  <c r="J659" i="7" s="1"/>
  <c r="J656" i="7"/>
  <c r="K657" i="7" s="1"/>
  <c r="L658" i="7" s="1"/>
  <c r="M658" i="7" s="1"/>
  <c r="L659" i="7" s="1"/>
  <c r="M659" i="7" s="1"/>
  <c r="H656" i="7"/>
  <c r="I657" i="7" s="1"/>
  <c r="J658" i="7" s="1"/>
  <c r="K659" i="7" s="1"/>
  <c r="K589" i="7"/>
  <c r="L590" i="7" s="1"/>
  <c r="M590" i="7" s="1"/>
  <c r="L591" i="7" s="1"/>
  <c r="M591" i="7" s="1"/>
  <c r="I589" i="7"/>
  <c r="J590" i="7" s="1"/>
  <c r="K591" i="7" s="1"/>
  <c r="H590" i="7"/>
  <c r="I591" i="7" s="1"/>
  <c r="J592" i="7" s="1"/>
  <c r="D588" i="7"/>
  <c r="F587" i="7"/>
  <c r="G588" i="7" s="1"/>
  <c r="H589" i="7" s="1"/>
  <c r="I590" i="7" s="1"/>
  <c r="J591" i="7" s="1"/>
  <c r="L147" i="7"/>
  <c r="M147" i="7" s="1"/>
  <c r="L148" i="7" s="1"/>
  <c r="M148" i="7" s="1"/>
  <c r="F149" i="7"/>
  <c r="D340" i="7"/>
  <c r="D309" i="7"/>
  <c r="D283" i="7"/>
  <c r="D275" i="7"/>
  <c r="I147" i="7"/>
  <c r="J148" i="7" s="1"/>
  <c r="G147" i="7"/>
  <c r="K148" i="7"/>
  <c r="I148" i="7"/>
  <c r="D149" i="7"/>
  <c r="D119" i="7"/>
  <c r="E119" i="7"/>
  <c r="D17" i="7"/>
  <c r="E17" i="7"/>
  <c r="F18" i="7" s="1"/>
  <c r="G19" i="7" s="1"/>
  <c r="H20" i="7" s="1"/>
  <c r="I21" i="7" s="1"/>
  <c r="J22" i="7" s="1"/>
  <c r="K23" i="7" s="1"/>
  <c r="F8" i="4"/>
  <c r="D12" i="4"/>
  <c r="D10" i="2"/>
  <c r="F10" i="2" s="1"/>
  <c r="C11" i="2"/>
  <c r="F55" i="1"/>
  <c r="C13" i="1"/>
  <c r="D12" i="1"/>
  <c r="L702" i="7" l="1"/>
  <c r="M702" i="7" s="1"/>
  <c r="K702" i="7"/>
  <c r="L703" i="7" s="1"/>
  <c r="M703" i="7" s="1"/>
  <c r="F699" i="7"/>
  <c r="G700" i="7" s="1"/>
  <c r="H701" i="7" s="1"/>
  <c r="I702" i="7" s="1"/>
  <c r="J703" i="7" s="1"/>
  <c r="K704" i="7" s="1"/>
  <c r="D699" i="7"/>
  <c r="E699" i="7"/>
  <c r="G699" i="7"/>
  <c r="H700" i="7" s="1"/>
  <c r="I701" i="7" s="1"/>
  <c r="J702" i="7" s="1"/>
  <c r="K703" i="7" s="1"/>
  <c r="L704" i="7" s="1"/>
  <c r="M704" i="7" s="1"/>
  <c r="D675" i="7"/>
  <c r="E675" i="7"/>
  <c r="F676" i="7" s="1"/>
  <c r="G677" i="7" s="1"/>
  <c r="H678" i="7" s="1"/>
  <c r="I679" i="7" s="1"/>
  <c r="J680" i="7" s="1"/>
  <c r="K681" i="7" s="1"/>
  <c r="L682" i="7" s="1"/>
  <c r="M682" i="7" s="1"/>
  <c r="L660" i="7"/>
  <c r="M660" i="7" s="1"/>
  <c r="K660" i="7"/>
  <c r="L661" i="7" s="1"/>
  <c r="M661" i="7" s="1"/>
  <c r="D657" i="7"/>
  <c r="E657" i="7"/>
  <c r="G658" i="7"/>
  <c r="H659" i="7" s="1"/>
  <c r="I660" i="7" s="1"/>
  <c r="J661" i="7" s="1"/>
  <c r="K662" i="7" s="1"/>
  <c r="L663" i="7" s="1"/>
  <c r="M663" i="7" s="1"/>
  <c r="G657" i="7"/>
  <c r="H658" i="7" s="1"/>
  <c r="I659" i="7" s="1"/>
  <c r="J660" i="7" s="1"/>
  <c r="K661" i="7" s="1"/>
  <c r="L662" i="7" s="1"/>
  <c r="M662" i="7" s="1"/>
  <c r="E588" i="7"/>
  <c r="F589" i="7" s="1"/>
  <c r="G590" i="7" s="1"/>
  <c r="H591" i="7" s="1"/>
  <c r="I592" i="7" s="1"/>
  <c r="K592" i="7"/>
  <c r="D589" i="7"/>
  <c r="E589" i="7"/>
  <c r="F590" i="7" s="1"/>
  <c r="G591" i="7" s="1"/>
  <c r="H592" i="7" s="1"/>
  <c r="I593" i="7" s="1"/>
  <c r="L592" i="7"/>
  <c r="M592" i="7" s="1"/>
  <c r="L149" i="7"/>
  <c r="M149" i="7" s="1"/>
  <c r="D341" i="7"/>
  <c r="D310" i="7"/>
  <c r="D284" i="7"/>
  <c r="J149" i="7"/>
  <c r="H149" i="7"/>
  <c r="H148" i="7"/>
  <c r="I149" i="7" s="1"/>
  <c r="F148" i="7"/>
  <c r="K149" i="7"/>
  <c r="L150" i="7" s="1"/>
  <c r="M150" i="7" s="1"/>
  <c r="E150" i="7"/>
  <c r="D150" i="7"/>
  <c r="D18" i="7"/>
  <c r="E18" i="7"/>
  <c r="F19" i="7" s="1"/>
  <c r="G20" i="7" s="1"/>
  <c r="H21" i="7" s="1"/>
  <c r="I22" i="7" s="1"/>
  <c r="J23" i="7" s="1"/>
  <c r="K24" i="7" s="1"/>
  <c r="E40" i="5"/>
  <c r="F40" i="5"/>
  <c r="G8" i="4"/>
  <c r="H8" i="4" s="1"/>
  <c r="D13" i="4"/>
  <c r="C12" i="2"/>
  <c r="D11" i="2"/>
  <c r="F11" i="2" s="1"/>
  <c r="C14" i="1"/>
  <c r="D13" i="1"/>
  <c r="F700" i="7" l="1"/>
  <c r="G701" i="7" s="1"/>
  <c r="H702" i="7" s="1"/>
  <c r="I703" i="7" s="1"/>
  <c r="J704" i="7" s="1"/>
  <c r="K705" i="7" s="1"/>
  <c r="D700" i="7"/>
  <c r="E700" i="7"/>
  <c r="F701" i="7" s="1"/>
  <c r="G702" i="7" s="1"/>
  <c r="H703" i="7" s="1"/>
  <c r="I704" i="7" s="1"/>
  <c r="J705" i="7" s="1"/>
  <c r="L705" i="7"/>
  <c r="M705" i="7" s="1"/>
  <c r="D676" i="7"/>
  <c r="E676" i="7"/>
  <c r="F677" i="7" s="1"/>
  <c r="G678" i="7" s="1"/>
  <c r="H679" i="7" s="1"/>
  <c r="I680" i="7" s="1"/>
  <c r="J681" i="7" s="1"/>
  <c r="K682" i="7" s="1"/>
  <c r="L683" i="7" s="1"/>
  <c r="M683" i="7" s="1"/>
  <c r="F658" i="7"/>
  <c r="G659" i="7" s="1"/>
  <c r="H660" i="7" s="1"/>
  <c r="I661" i="7" s="1"/>
  <c r="J662" i="7" s="1"/>
  <c r="K663" i="7" s="1"/>
  <c r="L664" i="7" s="1"/>
  <c r="M664" i="7" s="1"/>
  <c r="E658" i="7"/>
  <c r="F659" i="7" s="1"/>
  <c r="G660" i="7" s="1"/>
  <c r="H661" i="7" s="1"/>
  <c r="I662" i="7" s="1"/>
  <c r="J663" i="7" s="1"/>
  <c r="K664" i="7" s="1"/>
  <c r="L665" i="7" s="1"/>
  <c r="M665" i="7" s="1"/>
  <c r="D658" i="7"/>
  <c r="L593" i="7"/>
  <c r="M593" i="7" s="1"/>
  <c r="K593" i="7"/>
  <c r="L594" i="7" s="1"/>
  <c r="M594" i="7" s="1"/>
  <c r="J594" i="7"/>
  <c r="K595" i="7" s="1"/>
  <c r="D590" i="7"/>
  <c r="E590" i="7"/>
  <c r="F591" i="7" s="1"/>
  <c r="G592" i="7" s="1"/>
  <c r="H593" i="7" s="1"/>
  <c r="I594" i="7" s="1"/>
  <c r="J595" i="7" s="1"/>
  <c r="K596" i="7" s="1"/>
  <c r="J593" i="7"/>
  <c r="K594" i="7" s="1"/>
  <c r="L595" i="7" s="1"/>
  <c r="M595" i="7" s="1"/>
  <c r="D342" i="7"/>
  <c r="D311" i="7"/>
  <c r="G149" i="7"/>
  <c r="H150" i="7" s="1"/>
  <c r="E149" i="7"/>
  <c r="F150" i="7" s="1"/>
  <c r="G151" i="7" s="1"/>
  <c r="J150" i="7"/>
  <c r="I150" i="7"/>
  <c r="G150" i="7"/>
  <c r="H151" i="7" s="1"/>
  <c r="K150" i="7"/>
  <c r="L151" i="7" s="1"/>
  <c r="M151" i="7" s="1"/>
  <c r="E151" i="7"/>
  <c r="F152" i="7" s="1"/>
  <c r="D151" i="7"/>
  <c r="E19" i="7"/>
  <c r="F20" i="7" s="1"/>
  <c r="G21" i="7" s="1"/>
  <c r="H22" i="7" s="1"/>
  <c r="I23" i="7" s="1"/>
  <c r="J24" i="7" s="1"/>
  <c r="K25" i="7" s="1"/>
  <c r="D19" i="7"/>
  <c r="K40" i="5"/>
  <c r="L40" i="5" s="1"/>
  <c r="G40" i="5"/>
  <c r="H40" i="5"/>
  <c r="I8" i="4"/>
  <c r="E9" i="4"/>
  <c r="F9" i="4"/>
  <c r="G9" i="4" s="1"/>
  <c r="D14" i="4"/>
  <c r="C13" i="2"/>
  <c r="D13" i="2" s="1"/>
  <c r="F13" i="2" s="1"/>
  <c r="D12" i="2"/>
  <c r="F12" i="2" s="1"/>
  <c r="C15" i="1"/>
  <c r="D14" i="1"/>
  <c r="K706" i="7" l="1"/>
  <c r="D701" i="7"/>
  <c r="E701" i="7"/>
  <c r="F702" i="7" s="1"/>
  <c r="G703" i="7" s="1"/>
  <c r="H704" i="7" s="1"/>
  <c r="I705" i="7" s="1"/>
  <c r="J706" i="7" s="1"/>
  <c r="L706" i="7"/>
  <c r="M706" i="7" s="1"/>
  <c r="D677" i="7"/>
  <c r="E677" i="7"/>
  <c r="F678" i="7" s="1"/>
  <c r="G679" i="7" s="1"/>
  <c r="H680" i="7" s="1"/>
  <c r="I681" i="7" s="1"/>
  <c r="J682" i="7" s="1"/>
  <c r="K683" i="7" s="1"/>
  <c r="L684" i="7" s="1"/>
  <c r="M684" i="7" s="1"/>
  <c r="D659" i="7"/>
  <c r="E659" i="7"/>
  <c r="F660" i="7" s="1"/>
  <c r="G661" i="7" s="1"/>
  <c r="H662" i="7" s="1"/>
  <c r="I663" i="7" s="1"/>
  <c r="J664" i="7" s="1"/>
  <c r="K665" i="7" s="1"/>
  <c r="E591" i="7"/>
  <c r="F592" i="7" s="1"/>
  <c r="G593" i="7" s="1"/>
  <c r="H594" i="7" s="1"/>
  <c r="I595" i="7" s="1"/>
  <c r="J596" i="7" s="1"/>
  <c r="D591" i="7"/>
  <c r="L596" i="7"/>
  <c r="M596" i="7" s="1"/>
  <c r="L597" i="7" s="1"/>
  <c r="M597" i="7" s="1"/>
  <c r="D343" i="7"/>
  <c r="D312" i="7"/>
  <c r="J151" i="7"/>
  <c r="K151" i="7"/>
  <c r="L152" i="7" s="1"/>
  <c r="M152" i="7" s="1"/>
  <c r="I151" i="7"/>
  <c r="J152" i="7" s="1"/>
  <c r="F151" i="7"/>
  <c r="G152" i="7" s="1"/>
  <c r="D152" i="7"/>
  <c r="D20" i="7"/>
  <c r="E20" i="7"/>
  <c r="F21" i="7" s="1"/>
  <c r="G22" i="7" s="1"/>
  <c r="H23" i="7" s="1"/>
  <c r="I24" i="7" s="1"/>
  <c r="J25" i="7" s="1"/>
  <c r="K26" i="7" s="1"/>
  <c r="I40" i="5"/>
  <c r="M40" i="5"/>
  <c r="H9" i="4"/>
  <c r="I9" i="4" s="1"/>
  <c r="D15" i="4"/>
  <c r="F22" i="2"/>
  <c r="L8" i="2" s="1"/>
  <c r="C16" i="1"/>
  <c r="D15" i="1"/>
  <c r="D702" i="7" l="1"/>
  <c r="E702" i="7"/>
  <c r="F703" i="7" s="1"/>
  <c r="G704" i="7" s="1"/>
  <c r="H705" i="7" s="1"/>
  <c r="I706" i="7" s="1"/>
  <c r="D678" i="7"/>
  <c r="E678" i="7"/>
  <c r="F679" i="7" s="1"/>
  <c r="G680" i="7" s="1"/>
  <c r="H681" i="7" s="1"/>
  <c r="I682" i="7" s="1"/>
  <c r="J683" i="7" s="1"/>
  <c r="K684" i="7" s="1"/>
  <c r="L685" i="7" s="1"/>
  <c r="M685" i="7" s="1"/>
  <c r="E660" i="7"/>
  <c r="F661" i="7" s="1"/>
  <c r="G662" i="7" s="1"/>
  <c r="H663" i="7" s="1"/>
  <c r="I664" i="7" s="1"/>
  <c r="J665" i="7" s="1"/>
  <c r="D660" i="7"/>
  <c r="D592" i="7"/>
  <c r="E592" i="7"/>
  <c r="F593" i="7" s="1"/>
  <c r="G594" i="7" s="1"/>
  <c r="H595" i="7" s="1"/>
  <c r="I596" i="7" s="1"/>
  <c r="J597" i="7" s="1"/>
  <c r="K598" i="7" s="1"/>
  <c r="K597" i="7"/>
  <c r="L598" i="7" s="1"/>
  <c r="M598" i="7" s="1"/>
  <c r="E152" i="7"/>
  <c r="F153" i="7" s="1"/>
  <c r="D344" i="7"/>
  <c r="D313" i="7"/>
  <c r="H152" i="7"/>
  <c r="K152" i="7"/>
  <c r="I152" i="7"/>
  <c r="J153" i="7" s="1"/>
  <c r="D153" i="7"/>
  <c r="E153" i="7"/>
  <c r="E21" i="7"/>
  <c r="F22" i="7" s="1"/>
  <c r="G23" i="7" s="1"/>
  <c r="H24" i="7" s="1"/>
  <c r="I25" i="7" s="1"/>
  <c r="J26" i="7" s="1"/>
  <c r="K27" i="7" s="1"/>
  <c r="D21" i="7"/>
  <c r="N40" i="5"/>
  <c r="J40" i="5"/>
  <c r="E10" i="4"/>
  <c r="F62" i="1"/>
  <c r="J48" i="1" s="1"/>
  <c r="C17" i="1"/>
  <c r="D17" i="1" s="1"/>
  <c r="D16" i="1"/>
  <c r="D49" i="2"/>
  <c r="F49" i="2" s="1"/>
  <c r="H49" i="2"/>
  <c r="O43" i="2"/>
  <c r="D703" i="7" l="1"/>
  <c r="E703" i="7"/>
  <c r="F704" i="7" s="1"/>
  <c r="G705" i="7" s="1"/>
  <c r="H706" i="7" s="1"/>
  <c r="D679" i="7"/>
  <c r="E679" i="7"/>
  <c r="F680" i="7" s="1"/>
  <c r="G681" i="7" s="1"/>
  <c r="H682" i="7" s="1"/>
  <c r="I683" i="7" s="1"/>
  <c r="J684" i="7" s="1"/>
  <c r="K685" i="7" s="1"/>
  <c r="L686" i="7" s="1"/>
  <c r="M686" i="7" s="1"/>
  <c r="D661" i="7"/>
  <c r="E661" i="7"/>
  <c r="F662" i="7" s="1"/>
  <c r="G663" i="7" s="1"/>
  <c r="H664" i="7" s="1"/>
  <c r="I665" i="7" s="1"/>
  <c r="L599" i="7"/>
  <c r="M599" i="7" s="1"/>
  <c r="D593" i="7"/>
  <c r="E593" i="7"/>
  <c r="F594" i="7" s="1"/>
  <c r="G595" i="7" s="1"/>
  <c r="H596" i="7" s="1"/>
  <c r="I597" i="7" s="1"/>
  <c r="J598" i="7" s="1"/>
  <c r="K599" i="7" s="1"/>
  <c r="L600" i="7" s="1"/>
  <c r="M600" i="7" s="1"/>
  <c r="K153" i="7"/>
  <c r="L153" i="7"/>
  <c r="M153" i="7" s="1"/>
  <c r="D345" i="7"/>
  <c r="D314" i="7"/>
  <c r="K154" i="7"/>
  <c r="I153" i="7"/>
  <c r="J154" i="7" s="1"/>
  <c r="G153" i="7"/>
  <c r="H154" i="7" s="1"/>
  <c r="I155" i="7" s="1"/>
  <c r="H153" i="7"/>
  <c r="E154" i="7"/>
  <c r="D154" i="7"/>
  <c r="D22" i="7"/>
  <c r="E22" i="7"/>
  <c r="F23" i="7" s="1"/>
  <c r="G24" i="7" s="1"/>
  <c r="H25" i="7" s="1"/>
  <c r="I26" i="7" s="1"/>
  <c r="J27" i="7" s="1"/>
  <c r="K28" i="7" s="1"/>
  <c r="F41" i="5"/>
  <c r="E41" i="5"/>
  <c r="F10" i="4"/>
  <c r="G10" i="4" s="1"/>
  <c r="C44" i="2"/>
  <c r="J49" i="2"/>
  <c r="D704" i="7" l="1"/>
  <c r="E704" i="7"/>
  <c r="F705" i="7" s="1"/>
  <c r="G706" i="7" s="1"/>
  <c r="E680" i="7"/>
  <c r="F681" i="7" s="1"/>
  <c r="G682" i="7" s="1"/>
  <c r="H683" i="7" s="1"/>
  <c r="I684" i="7" s="1"/>
  <c r="J685" i="7" s="1"/>
  <c r="K686" i="7" s="1"/>
  <c r="L687" i="7" s="1"/>
  <c r="M687" i="7" s="1"/>
  <c r="D680" i="7"/>
  <c r="D662" i="7"/>
  <c r="E662" i="7"/>
  <c r="F663" i="7" s="1"/>
  <c r="G664" i="7" s="1"/>
  <c r="H665" i="7" s="1"/>
  <c r="D594" i="7"/>
  <c r="E594" i="7"/>
  <c r="F595" i="7" s="1"/>
  <c r="G596" i="7" s="1"/>
  <c r="H597" i="7" s="1"/>
  <c r="I598" i="7" s="1"/>
  <c r="J599" i="7" s="1"/>
  <c r="K600" i="7" s="1"/>
  <c r="L601" i="7" s="1"/>
  <c r="M601" i="7" s="1"/>
  <c r="L154" i="7"/>
  <c r="M154" i="7" s="1"/>
  <c r="L155" i="7" s="1"/>
  <c r="M155" i="7" s="1"/>
  <c r="D346" i="7"/>
  <c r="I154" i="7"/>
  <c r="J155" i="7" s="1"/>
  <c r="G154" i="7"/>
  <c r="H155" i="7" s="1"/>
  <c r="I156" i="7" s="1"/>
  <c r="F154" i="7"/>
  <c r="G155" i="7" s="1"/>
  <c r="H156" i="7" s="1"/>
  <c r="D155" i="7"/>
  <c r="E155" i="7"/>
  <c r="F156" i="7" s="1"/>
  <c r="G157" i="7" s="1"/>
  <c r="D23" i="7"/>
  <c r="E23" i="7"/>
  <c r="F24" i="7" s="1"/>
  <c r="G25" i="7" s="1"/>
  <c r="H26" i="7" s="1"/>
  <c r="I27" i="7" s="1"/>
  <c r="J28" i="7" s="1"/>
  <c r="K29" i="7" s="1"/>
  <c r="K41" i="5"/>
  <c r="L41" i="5" s="1"/>
  <c r="G41" i="5"/>
  <c r="H41" i="5"/>
  <c r="D44" i="2"/>
  <c r="D705" i="7" l="1"/>
  <c r="E705" i="7"/>
  <c r="F706" i="7" s="1"/>
  <c r="D681" i="7"/>
  <c r="E681" i="7"/>
  <c r="F682" i="7" s="1"/>
  <c r="G683" i="7" s="1"/>
  <c r="H684" i="7" s="1"/>
  <c r="I685" i="7" s="1"/>
  <c r="J686" i="7" s="1"/>
  <c r="K687" i="7" s="1"/>
  <c r="L688" i="7" s="1"/>
  <c r="M688" i="7" s="1"/>
  <c r="D663" i="7"/>
  <c r="E663" i="7"/>
  <c r="F664" i="7" s="1"/>
  <c r="G665" i="7" s="1"/>
  <c r="D595" i="7"/>
  <c r="E595" i="7"/>
  <c r="F596" i="7" s="1"/>
  <c r="G597" i="7" s="1"/>
  <c r="H598" i="7" s="1"/>
  <c r="I599" i="7" s="1"/>
  <c r="J600" i="7" s="1"/>
  <c r="K601" i="7" s="1"/>
  <c r="L602" i="7" s="1"/>
  <c r="M602" i="7" s="1"/>
  <c r="K156" i="7"/>
  <c r="K155" i="7"/>
  <c r="D347" i="7"/>
  <c r="F155" i="7"/>
  <c r="G156" i="7" s="1"/>
  <c r="H157" i="7" s="1"/>
  <c r="D156" i="7"/>
  <c r="E156" i="7"/>
  <c r="F157" i="7" s="1"/>
  <c r="G158" i="7" s="1"/>
  <c r="D24" i="7"/>
  <c r="E24" i="7"/>
  <c r="F25" i="7" s="1"/>
  <c r="G26" i="7" s="1"/>
  <c r="H27" i="7" s="1"/>
  <c r="I28" i="7" s="1"/>
  <c r="J29" i="7" s="1"/>
  <c r="K30" i="7" s="1"/>
  <c r="M41" i="5"/>
  <c r="I41" i="5"/>
  <c r="H10" i="4"/>
  <c r="H44" i="2"/>
  <c r="J44" i="2"/>
  <c r="F44" i="2"/>
  <c r="D45" i="2"/>
  <c r="D706" i="7" l="1"/>
  <c r="E706" i="7"/>
  <c r="D682" i="7"/>
  <c r="E682" i="7"/>
  <c r="F683" i="7" s="1"/>
  <c r="G684" i="7" s="1"/>
  <c r="H685" i="7" s="1"/>
  <c r="I686" i="7" s="1"/>
  <c r="J687" i="7" s="1"/>
  <c r="K688" i="7" s="1"/>
  <c r="L689" i="7" s="1"/>
  <c r="M689" i="7" s="1"/>
  <c r="D664" i="7"/>
  <c r="E664" i="7"/>
  <c r="F665" i="7" s="1"/>
  <c r="E596" i="7"/>
  <c r="F597" i="7" s="1"/>
  <c r="G598" i="7" s="1"/>
  <c r="H599" i="7" s="1"/>
  <c r="I600" i="7" s="1"/>
  <c r="J601" i="7" s="1"/>
  <c r="K602" i="7" s="1"/>
  <c r="L603" i="7" s="1"/>
  <c r="M603" i="7" s="1"/>
  <c r="D596" i="7"/>
  <c r="L156" i="7"/>
  <c r="M156" i="7" s="1"/>
  <c r="J156" i="7"/>
  <c r="L157" i="7"/>
  <c r="M157" i="7" s="1"/>
  <c r="J157" i="7"/>
  <c r="K158" i="7" s="1"/>
  <c r="D348" i="7"/>
  <c r="D157" i="7"/>
  <c r="E157" i="7"/>
  <c r="F158" i="7" s="1"/>
  <c r="E25" i="7"/>
  <c r="F26" i="7" s="1"/>
  <c r="G27" i="7" s="1"/>
  <c r="H28" i="7" s="1"/>
  <c r="I29" i="7" s="1"/>
  <c r="J30" i="7" s="1"/>
  <c r="K31" i="7" s="1"/>
  <c r="D25" i="7"/>
  <c r="N41" i="5"/>
  <c r="J41" i="5"/>
  <c r="I10" i="4"/>
  <c r="E11" i="4" s="1"/>
  <c r="J45" i="2"/>
  <c r="F45" i="2"/>
  <c r="H45" i="2"/>
  <c r="D46" i="2"/>
  <c r="E683" i="7" l="1"/>
  <c r="F684" i="7" s="1"/>
  <c r="G685" i="7" s="1"/>
  <c r="H686" i="7" s="1"/>
  <c r="I687" i="7" s="1"/>
  <c r="J688" i="7" s="1"/>
  <c r="K689" i="7" s="1"/>
  <c r="L690" i="7" s="1"/>
  <c r="M690" i="7" s="1"/>
  <c r="D683" i="7"/>
  <c r="D665" i="7"/>
  <c r="E665" i="7"/>
  <c r="D597" i="7"/>
  <c r="E597" i="7"/>
  <c r="F598" i="7" s="1"/>
  <c r="G599" i="7" s="1"/>
  <c r="H600" i="7" s="1"/>
  <c r="I601" i="7" s="1"/>
  <c r="J602" i="7" s="1"/>
  <c r="K603" i="7" s="1"/>
  <c r="L604" i="7" s="1"/>
  <c r="M604" i="7" s="1"/>
  <c r="K157" i="7"/>
  <c r="L158" i="7" s="1"/>
  <c r="M158" i="7" s="1"/>
  <c r="L159" i="7" s="1"/>
  <c r="M159" i="7" s="1"/>
  <c r="I157" i="7"/>
  <c r="I158" i="7"/>
  <c r="D349" i="7"/>
  <c r="E158" i="7"/>
  <c r="F159" i="7" s="1"/>
  <c r="D158" i="7"/>
  <c r="D26" i="7"/>
  <c r="E26" i="7"/>
  <c r="F27" i="7" s="1"/>
  <c r="G28" i="7" s="1"/>
  <c r="H29" i="7" s="1"/>
  <c r="I30" i="7" s="1"/>
  <c r="J31" i="7" s="1"/>
  <c r="K32" i="7" s="1"/>
  <c r="F42" i="5"/>
  <c r="E42" i="5"/>
  <c r="F11" i="4"/>
  <c r="G11" i="4" s="1"/>
  <c r="H46" i="2"/>
  <c r="J46" i="2"/>
  <c r="F46" i="2"/>
  <c r="D48" i="2"/>
  <c r="D47" i="2"/>
  <c r="D684" i="7" l="1"/>
  <c r="E684" i="7"/>
  <c r="F685" i="7" s="1"/>
  <c r="G686" i="7" s="1"/>
  <c r="H687" i="7" s="1"/>
  <c r="I688" i="7" s="1"/>
  <c r="J689" i="7" s="1"/>
  <c r="K690" i="7" s="1"/>
  <c r="D598" i="7"/>
  <c r="E598" i="7"/>
  <c r="F599" i="7" s="1"/>
  <c r="G600" i="7" s="1"/>
  <c r="H601" i="7" s="1"/>
  <c r="I602" i="7" s="1"/>
  <c r="J603" i="7" s="1"/>
  <c r="K604" i="7" s="1"/>
  <c r="L605" i="7" s="1"/>
  <c r="M605" i="7" s="1"/>
  <c r="J159" i="7"/>
  <c r="K160" i="7" s="1"/>
  <c r="H159" i="7"/>
  <c r="I160" i="7" s="1"/>
  <c r="J161" i="7" s="1"/>
  <c r="G160" i="7"/>
  <c r="H161" i="7" s="1"/>
  <c r="I162" i="7" s="1"/>
  <c r="J158" i="7"/>
  <c r="K159" i="7" s="1"/>
  <c r="L160" i="7" s="1"/>
  <c r="M160" i="7" s="1"/>
  <c r="H158" i="7"/>
  <c r="D350" i="7"/>
  <c r="E159" i="7"/>
  <c r="D159" i="7"/>
  <c r="D27" i="7"/>
  <c r="E27" i="7"/>
  <c r="F28" i="7" s="1"/>
  <c r="G29" i="7" s="1"/>
  <c r="H30" i="7" s="1"/>
  <c r="I31" i="7" s="1"/>
  <c r="J32" i="7" s="1"/>
  <c r="K33" i="7" s="1"/>
  <c r="K42" i="5"/>
  <c r="L42" i="5" s="1"/>
  <c r="G42" i="5"/>
  <c r="H42" i="5"/>
  <c r="H11" i="4"/>
  <c r="I11" i="4" s="1"/>
  <c r="J48" i="2"/>
  <c r="F48" i="2"/>
  <c r="H48" i="2"/>
  <c r="H47" i="2"/>
  <c r="J47" i="2"/>
  <c r="F47" i="2"/>
  <c r="F50" i="2"/>
  <c r="F51" i="2" s="1"/>
  <c r="J50" i="2"/>
  <c r="J51" i="2" s="1"/>
  <c r="H50" i="2"/>
  <c r="E685" i="7" l="1"/>
  <c r="F686" i="7" s="1"/>
  <c r="G687" i="7" s="1"/>
  <c r="H688" i="7" s="1"/>
  <c r="I689" i="7" s="1"/>
  <c r="J690" i="7" s="1"/>
  <c r="D685" i="7"/>
  <c r="E599" i="7"/>
  <c r="F600" i="7" s="1"/>
  <c r="G601" i="7" s="1"/>
  <c r="H602" i="7" s="1"/>
  <c r="I603" i="7" s="1"/>
  <c r="J604" i="7" s="1"/>
  <c r="K605" i="7" s="1"/>
  <c r="L606" i="7" s="1"/>
  <c r="M606" i="7" s="1"/>
  <c r="D599" i="7"/>
  <c r="I159" i="7"/>
  <c r="J160" i="7" s="1"/>
  <c r="K161" i="7" s="1"/>
  <c r="G159" i="7"/>
  <c r="H160" i="7" s="1"/>
  <c r="I161" i="7" s="1"/>
  <c r="J162" i="7" s="1"/>
  <c r="L161" i="7"/>
  <c r="D351" i="7"/>
  <c r="D160" i="7"/>
  <c r="E160" i="7"/>
  <c r="F161" i="7" s="1"/>
  <c r="G162" i="7" s="1"/>
  <c r="H163" i="7" s="1"/>
  <c r="E28" i="7"/>
  <c r="F29" i="7" s="1"/>
  <c r="G30" i="7" s="1"/>
  <c r="H31" i="7" s="1"/>
  <c r="I32" i="7" s="1"/>
  <c r="J33" i="7" s="1"/>
  <c r="K34" i="7" s="1"/>
  <c r="D28" i="7"/>
  <c r="M42" i="5"/>
  <c r="I42" i="5"/>
  <c r="E12" i="4"/>
  <c r="P43" i="2"/>
  <c r="H51" i="2"/>
  <c r="D686" i="7" l="1"/>
  <c r="E686" i="7"/>
  <c r="F687" i="7" s="1"/>
  <c r="G688" i="7" s="1"/>
  <c r="H689" i="7" s="1"/>
  <c r="I690" i="7" s="1"/>
  <c r="E600" i="7"/>
  <c r="F601" i="7" s="1"/>
  <c r="G602" i="7" s="1"/>
  <c r="H603" i="7" s="1"/>
  <c r="I604" i="7" s="1"/>
  <c r="J605" i="7" s="1"/>
  <c r="K606" i="7" s="1"/>
  <c r="L607" i="7" s="1"/>
  <c r="M607" i="7" s="1"/>
  <c r="D600" i="7"/>
  <c r="M161" i="7"/>
  <c r="K162" i="7"/>
  <c r="L162" i="7"/>
  <c r="M162" i="7" s="1"/>
  <c r="F160" i="7"/>
  <c r="G161" i="7" s="1"/>
  <c r="H162" i="7" s="1"/>
  <c r="I163" i="7" s="1"/>
  <c r="D352" i="7"/>
  <c r="E161" i="7"/>
  <c r="F162" i="7" s="1"/>
  <c r="G163" i="7" s="1"/>
  <c r="H164" i="7" s="1"/>
  <c r="D161" i="7"/>
  <c r="D29" i="7"/>
  <c r="E29" i="7"/>
  <c r="F30" i="7" s="1"/>
  <c r="G31" i="7" s="1"/>
  <c r="H32" i="7" s="1"/>
  <c r="I33" i="7" s="1"/>
  <c r="J34" i="7" s="1"/>
  <c r="K35" i="7" s="1"/>
  <c r="J42" i="5"/>
  <c r="N42" i="5"/>
  <c r="F12" i="4"/>
  <c r="G12" i="4" s="1"/>
  <c r="D7" i="3"/>
  <c r="G7" i="3" s="1"/>
  <c r="D687" i="7" l="1"/>
  <c r="E687" i="7"/>
  <c r="F688" i="7" s="1"/>
  <c r="G689" i="7" s="1"/>
  <c r="H690" i="7" s="1"/>
  <c r="E601" i="7"/>
  <c r="F602" i="7" s="1"/>
  <c r="G603" i="7" s="1"/>
  <c r="H604" i="7" s="1"/>
  <c r="I605" i="7" s="1"/>
  <c r="J606" i="7" s="1"/>
  <c r="K607" i="7" s="1"/>
  <c r="L608" i="7" s="1"/>
  <c r="M608" i="7" s="1"/>
  <c r="D601" i="7"/>
  <c r="K163" i="7"/>
  <c r="L163" i="7"/>
  <c r="M163" i="7" s="1"/>
  <c r="J163" i="7"/>
  <c r="D353" i="7"/>
  <c r="E162" i="7"/>
  <c r="F163" i="7" s="1"/>
  <c r="G164" i="7" s="1"/>
  <c r="D162" i="7"/>
  <c r="D30" i="7"/>
  <c r="E30" i="7"/>
  <c r="F31" i="7" s="1"/>
  <c r="G32" i="7" s="1"/>
  <c r="H33" i="7" s="1"/>
  <c r="I34" i="7" s="1"/>
  <c r="J35" i="7" s="1"/>
  <c r="K36" i="7" s="1"/>
  <c r="F43" i="5"/>
  <c r="E43" i="5"/>
  <c r="H12" i="4"/>
  <c r="I12" i="4" s="1"/>
  <c r="E13" i="4"/>
  <c r="D8" i="3"/>
  <c r="E8" i="3"/>
  <c r="F8" i="3" s="1"/>
  <c r="D688" i="7" l="1"/>
  <c r="E688" i="7"/>
  <c r="F689" i="7" s="1"/>
  <c r="G690" i="7" s="1"/>
  <c r="E602" i="7"/>
  <c r="F603" i="7" s="1"/>
  <c r="G604" i="7" s="1"/>
  <c r="H605" i="7" s="1"/>
  <c r="I606" i="7" s="1"/>
  <c r="J607" i="7" s="1"/>
  <c r="K608" i="7" s="1"/>
  <c r="L609" i="7" s="1"/>
  <c r="M609" i="7" s="1"/>
  <c r="D602" i="7"/>
  <c r="K164" i="7"/>
  <c r="I164" i="7"/>
  <c r="J165" i="7" s="1"/>
  <c r="L164" i="7"/>
  <c r="M164" i="7" s="1"/>
  <c r="J164" i="7"/>
  <c r="D354" i="7"/>
  <c r="E163" i="7"/>
  <c r="F164" i="7" s="1"/>
  <c r="G165" i="7" s="1"/>
  <c r="D163" i="7"/>
  <c r="E31" i="7"/>
  <c r="F32" i="7" s="1"/>
  <c r="G33" i="7" s="1"/>
  <c r="H34" i="7" s="1"/>
  <c r="I35" i="7" s="1"/>
  <c r="J36" i="7" s="1"/>
  <c r="K37" i="7" s="1"/>
  <c r="D31" i="7"/>
  <c r="K43" i="5"/>
  <c r="L43" i="5" s="1"/>
  <c r="G43" i="5"/>
  <c r="H43" i="5"/>
  <c r="F13" i="4"/>
  <c r="G13" i="4" s="1"/>
  <c r="D9" i="3"/>
  <c r="G8" i="3"/>
  <c r="E9" i="3"/>
  <c r="F9" i="3" s="1"/>
  <c r="D689" i="7" l="1"/>
  <c r="E689" i="7"/>
  <c r="F690" i="7" s="1"/>
  <c r="D603" i="7"/>
  <c r="E603" i="7"/>
  <c r="F604" i="7" s="1"/>
  <c r="G605" i="7" s="1"/>
  <c r="H606" i="7" s="1"/>
  <c r="I607" i="7" s="1"/>
  <c r="J608" i="7" s="1"/>
  <c r="K609" i="7" s="1"/>
  <c r="L610" i="7" s="1"/>
  <c r="M610" i="7" s="1"/>
  <c r="K165" i="7"/>
  <c r="I165" i="7"/>
  <c r="J166" i="7" s="1"/>
  <c r="L165" i="7"/>
  <c r="M165" i="7" s="1"/>
  <c r="H165" i="7"/>
  <c r="I166" i="7" s="1"/>
  <c r="D355" i="7"/>
  <c r="E164" i="7"/>
  <c r="F165" i="7" s="1"/>
  <c r="G166" i="7" s="1"/>
  <c r="H167" i="7" s="1"/>
  <c r="D164" i="7"/>
  <c r="E32" i="7"/>
  <c r="F33" i="7" s="1"/>
  <c r="G34" i="7" s="1"/>
  <c r="H35" i="7" s="1"/>
  <c r="I36" i="7" s="1"/>
  <c r="J37" i="7" s="1"/>
  <c r="K38" i="7" s="1"/>
  <c r="D32" i="7"/>
  <c r="M43" i="5"/>
  <c r="I43" i="5"/>
  <c r="H13" i="4"/>
  <c r="I13" i="4" s="1"/>
  <c r="E14" i="4"/>
  <c r="D10" i="3"/>
  <c r="G9" i="3"/>
  <c r="E10" i="3"/>
  <c r="F10" i="3" s="1"/>
  <c r="D690" i="7" l="1"/>
  <c r="E690" i="7"/>
  <c r="D604" i="7"/>
  <c r="E604" i="7"/>
  <c r="F605" i="7" s="1"/>
  <c r="G606" i="7" s="1"/>
  <c r="H607" i="7" s="1"/>
  <c r="I608" i="7" s="1"/>
  <c r="J609" i="7" s="1"/>
  <c r="K610" i="7" s="1"/>
  <c r="L611" i="7" s="1"/>
  <c r="M611" i="7" s="1"/>
  <c r="K166" i="7"/>
  <c r="L166" i="7"/>
  <c r="M166" i="7" s="1"/>
  <c r="H166" i="7"/>
  <c r="I167" i="7" s="1"/>
  <c r="D356" i="7"/>
  <c r="D165" i="7"/>
  <c r="E165" i="7"/>
  <c r="F166" i="7" s="1"/>
  <c r="G167" i="7" s="1"/>
  <c r="H168" i="7" s="1"/>
  <c r="E33" i="7"/>
  <c r="F34" i="7" s="1"/>
  <c r="G35" i="7" s="1"/>
  <c r="H36" i="7" s="1"/>
  <c r="I37" i="7" s="1"/>
  <c r="J38" i="7" s="1"/>
  <c r="K39" i="7" s="1"/>
  <c r="D33" i="7"/>
  <c r="N43" i="5"/>
  <c r="F44" i="5" s="1"/>
  <c r="J43" i="5"/>
  <c r="G44" i="5"/>
  <c r="E44" i="5"/>
  <c r="F14" i="4"/>
  <c r="G14" i="4" s="1"/>
  <c r="D11" i="3"/>
  <c r="G10" i="3"/>
  <c r="E11" i="3"/>
  <c r="F11" i="3" s="1"/>
  <c r="E605" i="7" l="1"/>
  <c r="F606" i="7" s="1"/>
  <c r="G607" i="7" s="1"/>
  <c r="H608" i="7" s="1"/>
  <c r="I609" i="7" s="1"/>
  <c r="J610" i="7" s="1"/>
  <c r="K611" i="7" s="1"/>
  <c r="L612" i="7" s="1"/>
  <c r="M612" i="7" s="1"/>
  <c r="D605" i="7"/>
  <c r="K167" i="7"/>
  <c r="L167" i="7"/>
  <c r="M167" i="7" s="1"/>
  <c r="J167" i="7"/>
  <c r="D357" i="7"/>
  <c r="E166" i="7"/>
  <c r="F167" i="7" s="1"/>
  <c r="G168" i="7" s="1"/>
  <c r="D166" i="7"/>
  <c r="E34" i="7"/>
  <c r="F35" i="7" s="1"/>
  <c r="G36" i="7" s="1"/>
  <c r="H37" i="7" s="1"/>
  <c r="I38" i="7" s="1"/>
  <c r="J39" i="7" s="1"/>
  <c r="K40" i="7" s="1"/>
  <c r="D34" i="7"/>
  <c r="K44" i="5"/>
  <c r="L44" i="5"/>
  <c r="I44" i="5" s="1"/>
  <c r="H44" i="5"/>
  <c r="M44" i="5" s="1"/>
  <c r="H14" i="4"/>
  <c r="I14" i="4" s="1"/>
  <c r="E15" i="4"/>
  <c r="D12" i="3"/>
  <c r="G11" i="3"/>
  <c r="E12" i="3"/>
  <c r="F12" i="3" s="1"/>
  <c r="E606" i="7" l="1"/>
  <c r="F607" i="7" s="1"/>
  <c r="G608" i="7" s="1"/>
  <c r="H609" i="7" s="1"/>
  <c r="I610" i="7" s="1"/>
  <c r="J611" i="7" s="1"/>
  <c r="K612" i="7" s="1"/>
  <c r="L613" i="7" s="1"/>
  <c r="M613" i="7" s="1"/>
  <c r="D606" i="7"/>
  <c r="K168" i="7"/>
  <c r="I168" i="7"/>
  <c r="J169" i="7" s="1"/>
  <c r="L168" i="7"/>
  <c r="M168" i="7" s="1"/>
  <c r="J168" i="7"/>
  <c r="D358" i="7"/>
  <c r="E167" i="7"/>
  <c r="F168" i="7" s="1"/>
  <c r="G169" i="7" s="1"/>
  <c r="D167" i="7"/>
  <c r="D35" i="7"/>
  <c r="E35" i="7"/>
  <c r="F36" i="7" s="1"/>
  <c r="G37" i="7" s="1"/>
  <c r="H38" i="7" s="1"/>
  <c r="I39" i="7" s="1"/>
  <c r="J40" i="7" s="1"/>
  <c r="K41" i="7" s="1"/>
  <c r="J44" i="5"/>
  <c r="N44" i="5"/>
  <c r="F15" i="4"/>
  <c r="G15" i="4" s="1"/>
  <c r="D13" i="3"/>
  <c r="G12" i="3"/>
  <c r="E13" i="3"/>
  <c r="F13" i="3" s="1"/>
  <c r="D607" i="7" l="1"/>
  <c r="E607" i="7"/>
  <c r="F608" i="7" s="1"/>
  <c r="G609" i="7" s="1"/>
  <c r="H610" i="7" s="1"/>
  <c r="I611" i="7" s="1"/>
  <c r="J612" i="7" s="1"/>
  <c r="K613" i="7" s="1"/>
  <c r="L614" i="7" s="1"/>
  <c r="M614" i="7" s="1"/>
  <c r="K169" i="7"/>
  <c r="I169" i="7"/>
  <c r="J170" i="7" s="1"/>
  <c r="L169" i="7"/>
  <c r="M169" i="7" s="1"/>
  <c r="H169" i="7"/>
  <c r="I170" i="7" s="1"/>
  <c r="D359" i="7"/>
  <c r="D168" i="7"/>
  <c r="E168" i="7"/>
  <c r="F169" i="7" s="1"/>
  <c r="G170" i="7" s="1"/>
  <c r="H171" i="7" s="1"/>
  <c r="D36" i="7"/>
  <c r="E36" i="7"/>
  <c r="F37" i="7" s="1"/>
  <c r="G38" i="7" s="1"/>
  <c r="H39" i="7" s="1"/>
  <c r="I40" i="7" s="1"/>
  <c r="J41" i="7" s="1"/>
  <c r="K42" i="7" s="1"/>
  <c r="D14" i="3"/>
  <c r="G13" i="3"/>
  <c r="E14" i="3"/>
  <c r="F14" i="3" s="1"/>
  <c r="D608" i="7" l="1"/>
  <c r="E608" i="7"/>
  <c r="F609" i="7" s="1"/>
  <c r="G610" i="7" s="1"/>
  <c r="H611" i="7" s="1"/>
  <c r="I612" i="7" s="1"/>
  <c r="J613" i="7" s="1"/>
  <c r="K614" i="7" s="1"/>
  <c r="L615" i="7" s="1"/>
  <c r="M615" i="7" s="1"/>
  <c r="K170" i="7"/>
  <c r="L170" i="7"/>
  <c r="M170" i="7" s="1"/>
  <c r="H170" i="7"/>
  <c r="I171" i="7" s="1"/>
  <c r="D360" i="7"/>
  <c r="E169" i="7"/>
  <c r="F170" i="7" s="1"/>
  <c r="G171" i="7" s="1"/>
  <c r="H172" i="7" s="1"/>
  <c r="D169" i="7"/>
  <c r="E37" i="7"/>
  <c r="F38" i="7" s="1"/>
  <c r="G39" i="7" s="1"/>
  <c r="H40" i="7" s="1"/>
  <c r="I41" i="7" s="1"/>
  <c r="J42" i="7" s="1"/>
  <c r="K43" i="7" s="1"/>
  <c r="D37" i="7"/>
  <c r="E45" i="5"/>
  <c r="F45" i="5"/>
  <c r="H15" i="4"/>
  <c r="I15" i="4" s="1"/>
  <c r="D15" i="3"/>
  <c r="G15" i="3" s="1"/>
  <c r="G14" i="3"/>
  <c r="E15" i="3"/>
  <c r="F15" i="3" s="1"/>
  <c r="D609" i="7" l="1"/>
  <c r="E609" i="7"/>
  <c r="F610" i="7" s="1"/>
  <c r="G611" i="7" s="1"/>
  <c r="H612" i="7" s="1"/>
  <c r="I613" i="7" s="1"/>
  <c r="J614" i="7" s="1"/>
  <c r="K615" i="7" s="1"/>
  <c r="L616" i="7" s="1"/>
  <c r="M616" i="7" s="1"/>
  <c r="K171" i="7"/>
  <c r="L171" i="7"/>
  <c r="M171" i="7" s="1"/>
  <c r="J171" i="7"/>
  <c r="D361" i="7"/>
  <c r="E170" i="7"/>
  <c r="F171" i="7" s="1"/>
  <c r="G172" i="7" s="1"/>
  <c r="D170" i="7"/>
  <c r="D38" i="7"/>
  <c r="E38" i="7"/>
  <c r="F39" i="7" s="1"/>
  <c r="G40" i="7" s="1"/>
  <c r="H41" i="7" s="1"/>
  <c r="I42" i="7" s="1"/>
  <c r="J43" i="7" s="1"/>
  <c r="K44" i="7" s="1"/>
  <c r="K45" i="5"/>
  <c r="G45" i="5"/>
  <c r="L45" i="5" s="1"/>
  <c r="H45" i="5"/>
  <c r="E16" i="3"/>
  <c r="F16" i="3" s="1"/>
  <c r="E610" i="7" l="1"/>
  <c r="F611" i="7" s="1"/>
  <c r="G612" i="7" s="1"/>
  <c r="H613" i="7" s="1"/>
  <c r="I614" i="7" s="1"/>
  <c r="J615" i="7" s="1"/>
  <c r="K616" i="7" s="1"/>
  <c r="L617" i="7" s="1"/>
  <c r="M617" i="7" s="1"/>
  <c r="D610" i="7"/>
  <c r="K172" i="7"/>
  <c r="I172" i="7"/>
  <c r="J173" i="7" s="1"/>
  <c r="L172" i="7"/>
  <c r="M172" i="7" s="1"/>
  <c r="J172" i="7"/>
  <c r="D362" i="7"/>
  <c r="D171" i="7"/>
  <c r="E171" i="7"/>
  <c r="F172" i="7" s="1"/>
  <c r="G173" i="7" s="1"/>
  <c r="E39" i="7"/>
  <c r="F40" i="7" s="1"/>
  <c r="G41" i="7" s="1"/>
  <c r="H42" i="7" s="1"/>
  <c r="I43" i="7" s="1"/>
  <c r="J44" i="7" s="1"/>
  <c r="K45" i="7" s="1"/>
  <c r="D39" i="7"/>
  <c r="I45" i="5"/>
  <c r="M45" i="5"/>
  <c r="F16" i="4"/>
  <c r="G16" i="4"/>
  <c r="D611" i="7" l="1"/>
  <c r="E611" i="7"/>
  <c r="F612" i="7" s="1"/>
  <c r="G613" i="7" s="1"/>
  <c r="H614" i="7" s="1"/>
  <c r="I615" i="7" s="1"/>
  <c r="J616" i="7" s="1"/>
  <c r="K617" i="7" s="1"/>
  <c r="L618" i="7" s="1"/>
  <c r="M618" i="7" s="1"/>
  <c r="K173" i="7"/>
  <c r="I173" i="7"/>
  <c r="J174" i="7" s="1"/>
  <c r="L173" i="7"/>
  <c r="M173" i="7" s="1"/>
  <c r="H173" i="7"/>
  <c r="I174" i="7" s="1"/>
  <c r="D363" i="7"/>
  <c r="D172" i="7"/>
  <c r="E172" i="7"/>
  <c r="F173" i="7" s="1"/>
  <c r="G174" i="7" s="1"/>
  <c r="H175" i="7" s="1"/>
  <c r="E40" i="7"/>
  <c r="F41" i="7" s="1"/>
  <c r="G42" i="7" s="1"/>
  <c r="H43" i="7" s="1"/>
  <c r="I44" i="7" s="1"/>
  <c r="J45" i="7" s="1"/>
  <c r="K46" i="7" s="1"/>
  <c r="D40" i="7"/>
  <c r="J45" i="5"/>
  <c r="N45" i="5"/>
  <c r="H16" i="4"/>
  <c r="I16" i="4" s="1"/>
  <c r="D612" i="7" l="1"/>
  <c r="E612" i="7"/>
  <c r="F613" i="7" s="1"/>
  <c r="G614" i="7" s="1"/>
  <c r="H615" i="7" s="1"/>
  <c r="I616" i="7" s="1"/>
  <c r="J617" i="7" s="1"/>
  <c r="K618" i="7" s="1"/>
  <c r="L619" i="7" s="1"/>
  <c r="M619" i="7" s="1"/>
  <c r="K174" i="7"/>
  <c r="L174" i="7"/>
  <c r="M174" i="7" s="1"/>
  <c r="H174" i="7"/>
  <c r="I175" i="7" s="1"/>
  <c r="D364" i="7"/>
  <c r="E173" i="7"/>
  <c r="F174" i="7" s="1"/>
  <c r="G175" i="7" s="1"/>
  <c r="H176" i="7" s="1"/>
  <c r="D173" i="7"/>
  <c r="D41" i="7"/>
  <c r="E41" i="7"/>
  <c r="F42" i="7" s="1"/>
  <c r="G43" i="7" s="1"/>
  <c r="H44" i="7" s="1"/>
  <c r="I45" i="7" s="1"/>
  <c r="J46" i="7" s="1"/>
  <c r="K47" i="7" s="1"/>
  <c r="E46" i="5"/>
  <c r="F46" i="5"/>
  <c r="E7" i="5"/>
  <c r="K7" i="5" s="1"/>
  <c r="L7" i="5" s="1"/>
  <c r="E613" i="7" l="1"/>
  <c r="F614" i="7" s="1"/>
  <c r="G615" i="7" s="1"/>
  <c r="H616" i="7" s="1"/>
  <c r="I617" i="7" s="1"/>
  <c r="J618" i="7" s="1"/>
  <c r="K619" i="7" s="1"/>
  <c r="L620" i="7" s="1"/>
  <c r="M620" i="7" s="1"/>
  <c r="D613" i="7"/>
  <c r="K175" i="7"/>
  <c r="L175" i="7"/>
  <c r="M175" i="7" s="1"/>
  <c r="J175" i="7"/>
  <c r="D365" i="7"/>
  <c r="E174" i="7"/>
  <c r="F175" i="7" s="1"/>
  <c r="G176" i="7" s="1"/>
  <c r="D174" i="7"/>
  <c r="D42" i="7"/>
  <c r="E42" i="7"/>
  <c r="F43" i="7" s="1"/>
  <c r="G44" i="7" s="1"/>
  <c r="H45" i="7" s="1"/>
  <c r="I46" i="7" s="1"/>
  <c r="J47" i="7" s="1"/>
  <c r="K48" i="7" s="1"/>
  <c r="K46" i="5"/>
  <c r="G46" i="5"/>
  <c r="L46" i="5" s="1"/>
  <c r="H7" i="5"/>
  <c r="M7" i="5" s="1"/>
  <c r="E614" i="7" l="1"/>
  <c r="F615" i="7" s="1"/>
  <c r="G616" i="7" s="1"/>
  <c r="H617" i="7" s="1"/>
  <c r="I618" i="7" s="1"/>
  <c r="J619" i="7" s="1"/>
  <c r="K620" i="7" s="1"/>
  <c r="L621" i="7" s="1"/>
  <c r="M621" i="7" s="1"/>
  <c r="D614" i="7"/>
  <c r="K176" i="7"/>
  <c r="I176" i="7"/>
  <c r="J177" i="7" s="1"/>
  <c r="L176" i="7"/>
  <c r="M176" i="7" s="1"/>
  <c r="J176" i="7"/>
  <c r="D366" i="7"/>
  <c r="E175" i="7"/>
  <c r="F176" i="7" s="1"/>
  <c r="G177" i="7" s="1"/>
  <c r="D175" i="7"/>
  <c r="E43" i="7"/>
  <c r="F44" i="7" s="1"/>
  <c r="G45" i="7" s="1"/>
  <c r="H46" i="7" s="1"/>
  <c r="I47" i="7" s="1"/>
  <c r="J48" i="7" s="1"/>
  <c r="K49" i="7" s="1"/>
  <c r="D43" i="7"/>
  <c r="I46" i="5"/>
  <c r="H46" i="5"/>
  <c r="M46" i="5" s="1"/>
  <c r="I7" i="5"/>
  <c r="E615" i="7" l="1"/>
  <c r="F616" i="7" s="1"/>
  <c r="G617" i="7" s="1"/>
  <c r="H618" i="7" s="1"/>
  <c r="I619" i="7" s="1"/>
  <c r="J620" i="7" s="1"/>
  <c r="K621" i="7" s="1"/>
  <c r="L622" i="7" s="1"/>
  <c r="M622" i="7" s="1"/>
  <c r="D615" i="7"/>
  <c r="K177" i="7"/>
  <c r="I177" i="7"/>
  <c r="J178" i="7" s="1"/>
  <c r="L177" i="7"/>
  <c r="M177" i="7" s="1"/>
  <c r="H177" i="7"/>
  <c r="I178" i="7" s="1"/>
  <c r="D367" i="7"/>
  <c r="D176" i="7"/>
  <c r="E176" i="7"/>
  <c r="F177" i="7" s="1"/>
  <c r="G178" i="7" s="1"/>
  <c r="H179" i="7" s="1"/>
  <c r="D44" i="7"/>
  <c r="E44" i="7"/>
  <c r="F45" i="7" s="1"/>
  <c r="G46" i="7" s="1"/>
  <c r="H47" i="7" s="1"/>
  <c r="I48" i="7" s="1"/>
  <c r="J49" i="7" s="1"/>
  <c r="K50" i="7" s="1"/>
  <c r="J46" i="5"/>
  <c r="N46" i="5"/>
  <c r="E47" i="5"/>
  <c r="F47" i="5"/>
  <c r="J7" i="5"/>
  <c r="E8" i="5" s="1"/>
  <c r="F8" i="5"/>
  <c r="D616" i="7" l="1"/>
  <c r="E616" i="7"/>
  <c r="F617" i="7" s="1"/>
  <c r="G618" i="7" s="1"/>
  <c r="H619" i="7" s="1"/>
  <c r="I620" i="7" s="1"/>
  <c r="J621" i="7" s="1"/>
  <c r="K622" i="7" s="1"/>
  <c r="L623" i="7" s="1"/>
  <c r="M623" i="7" s="1"/>
  <c r="K178" i="7"/>
  <c r="L178" i="7"/>
  <c r="M178" i="7" s="1"/>
  <c r="H178" i="7"/>
  <c r="I179" i="7" s="1"/>
  <c r="D368" i="7"/>
  <c r="D177" i="7"/>
  <c r="E177" i="7"/>
  <c r="F178" i="7" s="1"/>
  <c r="G179" i="7" s="1"/>
  <c r="H180" i="7" s="1"/>
  <c r="E45" i="7"/>
  <c r="F46" i="7" s="1"/>
  <c r="G47" i="7" s="1"/>
  <c r="H48" i="7" s="1"/>
  <c r="I49" i="7" s="1"/>
  <c r="J50" i="7" s="1"/>
  <c r="K51" i="7" s="1"/>
  <c r="D45" i="7"/>
  <c r="K47" i="5"/>
  <c r="L47" i="5" s="1"/>
  <c r="G47" i="5"/>
  <c r="H47" i="5"/>
  <c r="K8" i="5"/>
  <c r="G8" i="5"/>
  <c r="H8" i="5"/>
  <c r="D617" i="7" l="1"/>
  <c r="E617" i="7"/>
  <c r="F618" i="7" s="1"/>
  <c r="G619" i="7" s="1"/>
  <c r="H620" i="7" s="1"/>
  <c r="I621" i="7" s="1"/>
  <c r="J622" i="7" s="1"/>
  <c r="K623" i="7" s="1"/>
  <c r="L624" i="7" s="1"/>
  <c r="M624" i="7" s="1"/>
  <c r="K179" i="7"/>
  <c r="L179" i="7"/>
  <c r="M179" i="7" s="1"/>
  <c r="J179" i="7"/>
  <c r="D369" i="7"/>
  <c r="E178" i="7"/>
  <c r="F179" i="7" s="1"/>
  <c r="G180" i="7" s="1"/>
  <c r="D178" i="7"/>
  <c r="D46" i="7"/>
  <c r="E46" i="7"/>
  <c r="F47" i="7" s="1"/>
  <c r="G48" i="7" s="1"/>
  <c r="H49" i="7" s="1"/>
  <c r="I50" i="7" s="1"/>
  <c r="J51" i="7" s="1"/>
  <c r="K52" i="7" s="1"/>
  <c r="M47" i="5"/>
  <c r="I47" i="5"/>
  <c r="L8" i="5"/>
  <c r="M8" i="5" s="1"/>
  <c r="D618" i="7" l="1"/>
  <c r="E618" i="7"/>
  <c r="F619" i="7" s="1"/>
  <c r="G620" i="7" s="1"/>
  <c r="H621" i="7" s="1"/>
  <c r="I622" i="7" s="1"/>
  <c r="J623" i="7" s="1"/>
  <c r="K624" i="7" s="1"/>
  <c r="L625" i="7" s="1"/>
  <c r="M625" i="7" s="1"/>
  <c r="K180" i="7"/>
  <c r="I180" i="7"/>
  <c r="J181" i="7" s="1"/>
  <c r="L180" i="7"/>
  <c r="M180" i="7" s="1"/>
  <c r="J180" i="7"/>
  <c r="D370" i="7"/>
  <c r="E179" i="7"/>
  <c r="F180" i="7" s="1"/>
  <c r="G181" i="7" s="1"/>
  <c r="D179" i="7"/>
  <c r="D47" i="7"/>
  <c r="E47" i="7"/>
  <c r="F48" i="7" s="1"/>
  <c r="G49" i="7" s="1"/>
  <c r="H50" i="7" s="1"/>
  <c r="I51" i="7" s="1"/>
  <c r="J52" i="7" s="1"/>
  <c r="K53" i="7" s="1"/>
  <c r="N47" i="5"/>
  <c r="J47" i="5"/>
  <c r="I8" i="5"/>
  <c r="N8" i="5" s="1"/>
  <c r="F9" i="5" s="1"/>
  <c r="J8" i="5"/>
  <c r="E9" i="5" s="1"/>
  <c r="E619" i="7" l="1"/>
  <c r="F620" i="7" s="1"/>
  <c r="G621" i="7" s="1"/>
  <c r="H622" i="7" s="1"/>
  <c r="I623" i="7" s="1"/>
  <c r="J624" i="7" s="1"/>
  <c r="K625" i="7" s="1"/>
  <c r="L626" i="7" s="1"/>
  <c r="M626" i="7" s="1"/>
  <c r="D619" i="7"/>
  <c r="K181" i="7"/>
  <c r="I181" i="7"/>
  <c r="J182" i="7" s="1"/>
  <c r="L181" i="7"/>
  <c r="M181" i="7" s="1"/>
  <c r="H181" i="7"/>
  <c r="I182" i="7" s="1"/>
  <c r="D371" i="7"/>
  <c r="D180" i="7"/>
  <c r="E180" i="7"/>
  <c r="F181" i="7" s="1"/>
  <c r="G182" i="7" s="1"/>
  <c r="H183" i="7" s="1"/>
  <c r="D48" i="7"/>
  <c r="E48" i="7"/>
  <c r="F49" i="7" s="1"/>
  <c r="G50" i="7" s="1"/>
  <c r="H51" i="7" s="1"/>
  <c r="I52" i="7" s="1"/>
  <c r="J53" i="7" s="1"/>
  <c r="K54" i="7" s="1"/>
  <c r="F48" i="5"/>
  <c r="E48" i="5"/>
  <c r="K9" i="5"/>
  <c r="G9" i="5"/>
  <c r="L9" i="5" s="1"/>
  <c r="H9" i="5"/>
  <c r="D620" i="7" l="1"/>
  <c r="E620" i="7"/>
  <c r="F621" i="7" s="1"/>
  <c r="G622" i="7" s="1"/>
  <c r="H623" i="7" s="1"/>
  <c r="I624" i="7" s="1"/>
  <c r="J625" i="7" s="1"/>
  <c r="K626" i="7" s="1"/>
  <c r="L627" i="7" s="1"/>
  <c r="M627" i="7" s="1"/>
  <c r="K182" i="7"/>
  <c r="L182" i="7"/>
  <c r="M182" i="7" s="1"/>
  <c r="H182" i="7"/>
  <c r="I183" i="7" s="1"/>
  <c r="D372" i="7"/>
  <c r="D181" i="7"/>
  <c r="E181" i="7"/>
  <c r="F182" i="7" s="1"/>
  <c r="G183" i="7" s="1"/>
  <c r="H184" i="7" s="1"/>
  <c r="D49" i="7"/>
  <c r="E49" i="7"/>
  <c r="F50" i="7" s="1"/>
  <c r="G51" i="7" s="1"/>
  <c r="H52" i="7" s="1"/>
  <c r="I53" i="7" s="1"/>
  <c r="J54" i="7" s="1"/>
  <c r="K55" i="7" s="1"/>
  <c r="G48" i="5"/>
  <c r="M9" i="5"/>
  <c r="I9" i="5"/>
  <c r="J9" i="5"/>
  <c r="E10" i="5" s="1"/>
  <c r="E621" i="7" l="1"/>
  <c r="F622" i="7" s="1"/>
  <c r="G623" i="7" s="1"/>
  <c r="H624" i="7" s="1"/>
  <c r="I625" i="7" s="1"/>
  <c r="J626" i="7" s="1"/>
  <c r="K627" i="7" s="1"/>
  <c r="L628" i="7" s="1"/>
  <c r="M628" i="7" s="1"/>
  <c r="D621" i="7"/>
  <c r="K183" i="7"/>
  <c r="L183" i="7"/>
  <c r="M183" i="7" s="1"/>
  <c r="J183" i="7"/>
  <c r="D373" i="7"/>
  <c r="E182" i="7"/>
  <c r="F183" i="7" s="1"/>
  <c r="G184" i="7" s="1"/>
  <c r="D182" i="7"/>
  <c r="D50" i="7"/>
  <c r="E50" i="7"/>
  <c r="F51" i="7" s="1"/>
  <c r="G52" i="7" s="1"/>
  <c r="H53" i="7" s="1"/>
  <c r="I54" i="7" s="1"/>
  <c r="J55" i="7" s="1"/>
  <c r="K56" i="7" s="1"/>
  <c r="H48" i="5"/>
  <c r="N9" i="5"/>
  <c r="F10" i="5" s="1"/>
  <c r="K10" i="5"/>
  <c r="G10" i="5"/>
  <c r="L10" i="5" s="1"/>
  <c r="H10" i="5"/>
  <c r="D622" i="7" l="1"/>
  <c r="E622" i="7"/>
  <c r="F623" i="7" s="1"/>
  <c r="G624" i="7" s="1"/>
  <c r="H625" i="7" s="1"/>
  <c r="I626" i="7" s="1"/>
  <c r="J627" i="7" s="1"/>
  <c r="K628" i="7" s="1"/>
  <c r="L629" i="7" s="1"/>
  <c r="M629" i="7" s="1"/>
  <c r="K184" i="7"/>
  <c r="I184" i="7"/>
  <c r="J185" i="7" s="1"/>
  <c r="L184" i="7"/>
  <c r="M184" i="7" s="1"/>
  <c r="J184" i="7"/>
  <c r="D374" i="7"/>
  <c r="E183" i="7"/>
  <c r="F184" i="7" s="1"/>
  <c r="G185" i="7" s="1"/>
  <c r="D183" i="7"/>
  <c r="D51" i="7"/>
  <c r="E51" i="7"/>
  <c r="F52" i="7" s="1"/>
  <c r="G53" i="7" s="1"/>
  <c r="H54" i="7" s="1"/>
  <c r="I55" i="7" s="1"/>
  <c r="J56" i="7" s="1"/>
  <c r="K57" i="7" s="1"/>
  <c r="I48" i="5"/>
  <c r="J48" i="5" s="1"/>
  <c r="M10" i="5"/>
  <c r="N10" i="5" s="1"/>
  <c r="I10" i="5"/>
  <c r="D623" i="7" l="1"/>
  <c r="E623" i="7"/>
  <c r="F624" i="7" s="1"/>
  <c r="G625" i="7" s="1"/>
  <c r="H626" i="7" s="1"/>
  <c r="I627" i="7" s="1"/>
  <c r="J628" i="7" s="1"/>
  <c r="K629" i="7" s="1"/>
  <c r="L630" i="7" s="1"/>
  <c r="M630" i="7" s="1"/>
  <c r="K185" i="7"/>
  <c r="I185" i="7"/>
  <c r="J186" i="7" s="1"/>
  <c r="L185" i="7"/>
  <c r="M185" i="7" s="1"/>
  <c r="H185" i="7"/>
  <c r="I186" i="7" s="1"/>
  <c r="D375" i="7"/>
  <c r="D184" i="7"/>
  <c r="E184" i="7"/>
  <c r="F185" i="7" s="1"/>
  <c r="G186" i="7" s="1"/>
  <c r="H187" i="7" s="1"/>
  <c r="E52" i="7"/>
  <c r="F53" i="7" s="1"/>
  <c r="G54" i="7" s="1"/>
  <c r="H55" i="7" s="1"/>
  <c r="I56" i="7" s="1"/>
  <c r="J57" i="7" s="1"/>
  <c r="K58" i="7" s="1"/>
  <c r="D52" i="7"/>
  <c r="K48" i="5"/>
  <c r="J10" i="5"/>
  <c r="E11" i="5" s="1"/>
  <c r="F11" i="5"/>
  <c r="E624" i="7" l="1"/>
  <c r="F625" i="7" s="1"/>
  <c r="G626" i="7" s="1"/>
  <c r="H627" i="7" s="1"/>
  <c r="I628" i="7" s="1"/>
  <c r="J629" i="7" s="1"/>
  <c r="K630" i="7" s="1"/>
  <c r="L631" i="7" s="1"/>
  <c r="M631" i="7" s="1"/>
  <c r="D624" i="7"/>
  <c r="K186" i="7"/>
  <c r="L186" i="7"/>
  <c r="M186" i="7" s="1"/>
  <c r="H186" i="7"/>
  <c r="I187" i="7" s="1"/>
  <c r="D376" i="7"/>
  <c r="E185" i="7"/>
  <c r="F186" i="7" s="1"/>
  <c r="G187" i="7" s="1"/>
  <c r="H188" i="7" s="1"/>
  <c r="D185" i="7"/>
  <c r="D53" i="7"/>
  <c r="E53" i="7"/>
  <c r="F54" i="7" s="1"/>
  <c r="G55" i="7" s="1"/>
  <c r="H56" i="7" s="1"/>
  <c r="I57" i="7" s="1"/>
  <c r="J58" i="7" s="1"/>
  <c r="K59" i="7" s="1"/>
  <c r="L48" i="5"/>
  <c r="K11" i="5"/>
  <c r="G11" i="5"/>
  <c r="L11" i="5" s="1"/>
  <c r="D625" i="7" l="1"/>
  <c r="E625" i="7"/>
  <c r="F626" i="7" s="1"/>
  <c r="G627" i="7" s="1"/>
  <c r="H628" i="7" s="1"/>
  <c r="I629" i="7" s="1"/>
  <c r="J630" i="7" s="1"/>
  <c r="K631" i="7" s="1"/>
  <c r="L632" i="7" s="1"/>
  <c r="M632" i="7" s="1"/>
  <c r="K187" i="7"/>
  <c r="L187" i="7"/>
  <c r="M187" i="7" s="1"/>
  <c r="J187" i="7"/>
  <c r="D377" i="7"/>
  <c r="D186" i="7"/>
  <c r="E186" i="7"/>
  <c r="F187" i="7" s="1"/>
  <c r="G188" i="7" s="1"/>
  <c r="D54" i="7"/>
  <c r="E54" i="7"/>
  <c r="F55" i="7" s="1"/>
  <c r="G56" i="7" s="1"/>
  <c r="H57" i="7" s="1"/>
  <c r="I58" i="7" s="1"/>
  <c r="J59" i="7" s="1"/>
  <c r="K60" i="7" s="1"/>
  <c r="M48" i="5"/>
  <c r="N48" i="5" s="1"/>
  <c r="H11" i="5"/>
  <c r="M11" i="5" s="1"/>
  <c r="D626" i="7" l="1"/>
  <c r="E626" i="7"/>
  <c r="F627" i="7" s="1"/>
  <c r="G628" i="7" s="1"/>
  <c r="H629" i="7" s="1"/>
  <c r="I630" i="7" s="1"/>
  <c r="J631" i="7" s="1"/>
  <c r="K632" i="7" s="1"/>
  <c r="L633" i="7" s="1"/>
  <c r="M633" i="7" s="1"/>
  <c r="K188" i="7"/>
  <c r="I188" i="7"/>
  <c r="J189" i="7" s="1"/>
  <c r="L188" i="7"/>
  <c r="M188" i="7" s="1"/>
  <c r="J188" i="7"/>
  <c r="D378" i="7"/>
  <c r="E187" i="7"/>
  <c r="F188" i="7" s="1"/>
  <c r="G189" i="7" s="1"/>
  <c r="D187" i="7"/>
  <c r="E55" i="7"/>
  <c r="F56" i="7" s="1"/>
  <c r="G57" i="7" s="1"/>
  <c r="H58" i="7" s="1"/>
  <c r="I59" i="7" s="1"/>
  <c r="J60" i="7" s="1"/>
  <c r="K61" i="7" s="1"/>
  <c r="D55" i="7"/>
  <c r="I11" i="5"/>
  <c r="N11" i="5" s="1"/>
  <c r="D627" i="7" l="1"/>
  <c r="E627" i="7"/>
  <c r="F628" i="7" s="1"/>
  <c r="G629" i="7" s="1"/>
  <c r="H630" i="7" s="1"/>
  <c r="I631" i="7" s="1"/>
  <c r="J632" i="7" s="1"/>
  <c r="K633" i="7" s="1"/>
  <c r="L634" i="7" s="1"/>
  <c r="M634" i="7" s="1"/>
  <c r="K189" i="7"/>
  <c r="I189" i="7"/>
  <c r="J190" i="7" s="1"/>
  <c r="L189" i="7"/>
  <c r="M189" i="7" s="1"/>
  <c r="H189" i="7"/>
  <c r="I190" i="7" s="1"/>
  <c r="D379" i="7"/>
  <c r="E188" i="7"/>
  <c r="F189" i="7" s="1"/>
  <c r="G190" i="7" s="1"/>
  <c r="H191" i="7" s="1"/>
  <c r="D188" i="7"/>
  <c r="D56" i="7"/>
  <c r="E56" i="7"/>
  <c r="F57" i="7" s="1"/>
  <c r="G58" i="7" s="1"/>
  <c r="H59" i="7" s="1"/>
  <c r="I60" i="7" s="1"/>
  <c r="J61" i="7" s="1"/>
  <c r="K62" i="7" s="1"/>
  <c r="F12" i="5"/>
  <c r="J11" i="5"/>
  <c r="E12" i="5" s="1"/>
  <c r="D628" i="7" l="1"/>
  <c r="E628" i="7"/>
  <c r="F629" i="7" s="1"/>
  <c r="G630" i="7" s="1"/>
  <c r="H631" i="7" s="1"/>
  <c r="I632" i="7" s="1"/>
  <c r="J633" i="7" s="1"/>
  <c r="K634" i="7" s="1"/>
  <c r="L635" i="7" s="1"/>
  <c r="M635" i="7" s="1"/>
  <c r="K190" i="7"/>
  <c r="L190" i="7"/>
  <c r="M190" i="7" s="1"/>
  <c r="H190" i="7"/>
  <c r="I191" i="7" s="1"/>
  <c r="D380" i="7"/>
  <c r="D189" i="7"/>
  <c r="E189" i="7"/>
  <c r="F190" i="7" s="1"/>
  <c r="G191" i="7" s="1"/>
  <c r="H192" i="7" s="1"/>
  <c r="E57" i="7"/>
  <c r="F58" i="7" s="1"/>
  <c r="G59" i="7" s="1"/>
  <c r="H60" i="7" s="1"/>
  <c r="I61" i="7" s="1"/>
  <c r="J62" i="7" s="1"/>
  <c r="K63" i="7" s="1"/>
  <c r="D57" i="7"/>
  <c r="K12" i="5"/>
  <c r="G12" i="5"/>
  <c r="H12" i="5"/>
  <c r="E629" i="7" l="1"/>
  <c r="F630" i="7" s="1"/>
  <c r="G631" i="7" s="1"/>
  <c r="H632" i="7" s="1"/>
  <c r="I633" i="7" s="1"/>
  <c r="J634" i="7" s="1"/>
  <c r="K635" i="7" s="1"/>
  <c r="L636" i="7" s="1"/>
  <c r="M636" i="7" s="1"/>
  <c r="D629" i="7"/>
  <c r="K191" i="7"/>
  <c r="L191" i="7"/>
  <c r="M191" i="7" s="1"/>
  <c r="J191" i="7"/>
  <c r="D381" i="7"/>
  <c r="E190" i="7"/>
  <c r="F191" i="7" s="1"/>
  <c r="G192" i="7" s="1"/>
  <c r="D190" i="7"/>
  <c r="D58" i="7"/>
  <c r="E58" i="7"/>
  <c r="F59" i="7" s="1"/>
  <c r="G60" i="7" s="1"/>
  <c r="H61" i="7" s="1"/>
  <c r="I62" i="7" s="1"/>
  <c r="J63" i="7" s="1"/>
  <c r="K64" i="7" s="1"/>
  <c r="L12" i="5"/>
  <c r="M12" i="5" s="1"/>
  <c r="I12" i="5"/>
  <c r="E630" i="7" l="1"/>
  <c r="F631" i="7" s="1"/>
  <c r="G632" i="7" s="1"/>
  <c r="H633" i="7" s="1"/>
  <c r="I634" i="7" s="1"/>
  <c r="J635" i="7" s="1"/>
  <c r="K636" i="7" s="1"/>
  <c r="L637" i="7" s="1"/>
  <c r="M637" i="7" s="1"/>
  <c r="D630" i="7"/>
  <c r="K192" i="7"/>
  <c r="I192" i="7"/>
  <c r="J193" i="7" s="1"/>
  <c r="L192" i="7"/>
  <c r="M192" i="7" s="1"/>
  <c r="J192" i="7"/>
  <c r="D382" i="7"/>
  <c r="D191" i="7"/>
  <c r="E191" i="7"/>
  <c r="F192" i="7" s="1"/>
  <c r="G193" i="7" s="1"/>
  <c r="D59" i="7"/>
  <c r="E59" i="7"/>
  <c r="F60" i="7" s="1"/>
  <c r="G61" i="7" s="1"/>
  <c r="H62" i="7" s="1"/>
  <c r="I63" i="7" s="1"/>
  <c r="J64" i="7" s="1"/>
  <c r="K65" i="7" s="1"/>
  <c r="N12" i="5"/>
  <c r="J12" i="5"/>
  <c r="E13" i="5" s="1"/>
  <c r="F13" i="5"/>
  <c r="K13" i="5"/>
  <c r="H13" i="5"/>
  <c r="D631" i="7" l="1"/>
  <c r="E631" i="7"/>
  <c r="F632" i="7" s="1"/>
  <c r="G633" i="7" s="1"/>
  <c r="H634" i="7" s="1"/>
  <c r="I635" i="7" s="1"/>
  <c r="J636" i="7" s="1"/>
  <c r="K637" i="7" s="1"/>
  <c r="L638" i="7" s="1"/>
  <c r="M638" i="7" s="1"/>
  <c r="K193" i="7"/>
  <c r="I193" i="7"/>
  <c r="J194" i="7" s="1"/>
  <c r="L193" i="7"/>
  <c r="M193" i="7" s="1"/>
  <c r="H193" i="7"/>
  <c r="I194" i="7" s="1"/>
  <c r="D383" i="7"/>
  <c r="D192" i="7"/>
  <c r="E192" i="7"/>
  <c r="F193" i="7" s="1"/>
  <c r="G194" i="7" s="1"/>
  <c r="H195" i="7" s="1"/>
  <c r="E60" i="7"/>
  <c r="F61" i="7" s="1"/>
  <c r="G62" i="7" s="1"/>
  <c r="H63" i="7" s="1"/>
  <c r="I64" i="7" s="1"/>
  <c r="J65" i="7" s="1"/>
  <c r="K66" i="7" s="1"/>
  <c r="D60" i="7"/>
  <c r="G13" i="5"/>
  <c r="L13" i="5" s="1"/>
  <c r="M13" i="5" s="1"/>
  <c r="D632" i="7" l="1"/>
  <c r="E632" i="7"/>
  <c r="F633" i="7" s="1"/>
  <c r="G634" i="7" s="1"/>
  <c r="H635" i="7" s="1"/>
  <c r="I636" i="7" s="1"/>
  <c r="J637" i="7" s="1"/>
  <c r="K638" i="7" s="1"/>
  <c r="L639" i="7" s="1"/>
  <c r="M639" i="7" s="1"/>
  <c r="K194" i="7"/>
  <c r="L194" i="7"/>
  <c r="M194" i="7" s="1"/>
  <c r="H194" i="7"/>
  <c r="I195" i="7" s="1"/>
  <c r="D384" i="7"/>
  <c r="D193" i="7"/>
  <c r="E193" i="7"/>
  <c r="F194" i="7" s="1"/>
  <c r="G195" i="7" s="1"/>
  <c r="H196" i="7" s="1"/>
  <c r="E61" i="7"/>
  <c r="F62" i="7" s="1"/>
  <c r="G63" i="7" s="1"/>
  <c r="H64" i="7" s="1"/>
  <c r="I65" i="7" s="1"/>
  <c r="J66" i="7" s="1"/>
  <c r="K67" i="7" s="1"/>
  <c r="D61" i="7"/>
  <c r="I13" i="5"/>
  <c r="N13" i="5" s="1"/>
  <c r="F14" i="5" s="1"/>
  <c r="J13" i="5"/>
  <c r="E14" i="5" s="1"/>
  <c r="D633" i="7" l="1"/>
  <c r="E633" i="7"/>
  <c r="F634" i="7" s="1"/>
  <c r="G635" i="7" s="1"/>
  <c r="H636" i="7" s="1"/>
  <c r="I637" i="7" s="1"/>
  <c r="J638" i="7" s="1"/>
  <c r="K639" i="7" s="1"/>
  <c r="L640" i="7" s="1"/>
  <c r="M640" i="7" s="1"/>
  <c r="K195" i="7"/>
  <c r="L195" i="7"/>
  <c r="M195" i="7" s="1"/>
  <c r="J195" i="7"/>
  <c r="D385" i="7"/>
  <c r="E194" i="7"/>
  <c r="F195" i="7" s="1"/>
  <c r="G196" i="7" s="1"/>
  <c r="D194" i="7"/>
  <c r="D62" i="7"/>
  <c r="E62" i="7"/>
  <c r="F63" i="7" s="1"/>
  <c r="G64" i="7" s="1"/>
  <c r="H65" i="7" s="1"/>
  <c r="I66" i="7" s="1"/>
  <c r="J67" i="7" s="1"/>
  <c r="K68" i="7" s="1"/>
  <c r="K14" i="5"/>
  <c r="G14" i="5"/>
  <c r="L14" i="5" s="1"/>
  <c r="I14" i="5" s="1"/>
  <c r="H14" i="5"/>
  <c r="D634" i="7" l="1"/>
  <c r="E634" i="7"/>
  <c r="F635" i="7" s="1"/>
  <c r="G636" i="7" s="1"/>
  <c r="H637" i="7" s="1"/>
  <c r="I638" i="7" s="1"/>
  <c r="J639" i="7" s="1"/>
  <c r="K640" i="7" s="1"/>
  <c r="L641" i="7" s="1"/>
  <c r="M641" i="7" s="1"/>
  <c r="K196" i="7"/>
  <c r="I196" i="7"/>
  <c r="J197" i="7" s="1"/>
  <c r="L196" i="7"/>
  <c r="M196" i="7" s="1"/>
  <c r="J196" i="7"/>
  <c r="D386" i="7"/>
  <c r="E195" i="7"/>
  <c r="F196" i="7" s="1"/>
  <c r="G197" i="7" s="1"/>
  <c r="D195" i="7"/>
  <c r="E63" i="7"/>
  <c r="F64" i="7" s="1"/>
  <c r="G65" i="7" s="1"/>
  <c r="H66" i="7" s="1"/>
  <c r="I67" i="7" s="1"/>
  <c r="J68" i="7" s="1"/>
  <c r="K69" i="7" s="1"/>
  <c r="D63" i="7"/>
  <c r="M14" i="5"/>
  <c r="N14" i="5" s="1"/>
  <c r="J14" i="5"/>
  <c r="E15" i="5" s="1"/>
  <c r="F15" i="5"/>
  <c r="D635" i="7" l="1"/>
  <c r="E635" i="7"/>
  <c r="F636" i="7" s="1"/>
  <c r="G637" i="7" s="1"/>
  <c r="H638" i="7" s="1"/>
  <c r="I639" i="7" s="1"/>
  <c r="J640" i="7" s="1"/>
  <c r="K641" i="7" s="1"/>
  <c r="L642" i="7" s="1"/>
  <c r="M642" i="7" s="1"/>
  <c r="K197" i="7"/>
  <c r="I197" i="7"/>
  <c r="J198" i="7" s="1"/>
  <c r="L197" i="7"/>
  <c r="M197" i="7" s="1"/>
  <c r="H197" i="7"/>
  <c r="I198" i="7" s="1"/>
  <c r="D387" i="7"/>
  <c r="D196" i="7"/>
  <c r="E196" i="7"/>
  <c r="F197" i="7" s="1"/>
  <c r="G198" i="7" s="1"/>
  <c r="H199" i="7" s="1"/>
  <c r="E64" i="7"/>
  <c r="F65" i="7" s="1"/>
  <c r="G66" i="7" s="1"/>
  <c r="H67" i="7" s="1"/>
  <c r="I68" i="7" s="1"/>
  <c r="J69" i="7" s="1"/>
  <c r="K70" i="7" s="1"/>
  <c r="D64" i="7"/>
  <c r="K15" i="5"/>
  <c r="G15" i="5"/>
  <c r="L15" i="5" s="1"/>
  <c r="H15" i="5"/>
  <c r="E636" i="7" l="1"/>
  <c r="F637" i="7" s="1"/>
  <c r="G638" i="7" s="1"/>
  <c r="H639" i="7" s="1"/>
  <c r="I640" i="7" s="1"/>
  <c r="J641" i="7" s="1"/>
  <c r="K642" i="7" s="1"/>
  <c r="L643" i="7" s="1"/>
  <c r="M643" i="7" s="1"/>
  <c r="D636" i="7"/>
  <c r="K198" i="7"/>
  <c r="L198" i="7"/>
  <c r="M198" i="7" s="1"/>
  <c r="H198" i="7"/>
  <c r="I199" i="7" s="1"/>
  <c r="D388" i="7"/>
  <c r="E197" i="7"/>
  <c r="F198" i="7" s="1"/>
  <c r="G199" i="7" s="1"/>
  <c r="H200" i="7" s="1"/>
  <c r="D197" i="7"/>
  <c r="D65" i="7"/>
  <c r="E65" i="7"/>
  <c r="F66" i="7" s="1"/>
  <c r="G67" i="7" s="1"/>
  <c r="H68" i="7" s="1"/>
  <c r="I69" i="7" s="1"/>
  <c r="J70" i="7" s="1"/>
  <c r="K71" i="7" s="1"/>
  <c r="M15" i="5"/>
  <c r="I15" i="5"/>
  <c r="D637" i="7" l="1"/>
  <c r="E637" i="7"/>
  <c r="F638" i="7" s="1"/>
  <c r="G639" i="7" s="1"/>
  <c r="H640" i="7" s="1"/>
  <c r="I641" i="7" s="1"/>
  <c r="J642" i="7" s="1"/>
  <c r="K643" i="7" s="1"/>
  <c r="L644" i="7" s="1"/>
  <c r="M644" i="7" s="1"/>
  <c r="K199" i="7"/>
  <c r="L199" i="7"/>
  <c r="M199" i="7" s="1"/>
  <c r="J199" i="7"/>
  <c r="D389" i="7"/>
  <c r="E198" i="7"/>
  <c r="F199" i="7" s="1"/>
  <c r="G200" i="7" s="1"/>
  <c r="D198" i="7"/>
  <c r="D66" i="7"/>
  <c r="E66" i="7"/>
  <c r="F67" i="7" s="1"/>
  <c r="G68" i="7" s="1"/>
  <c r="H69" i="7" s="1"/>
  <c r="I70" i="7" s="1"/>
  <c r="J71" i="7" s="1"/>
  <c r="K72" i="7" s="1"/>
  <c r="N15" i="5"/>
  <c r="J15" i="5"/>
  <c r="E16" i="5" s="1"/>
  <c r="F16" i="5"/>
  <c r="D638" i="7" l="1"/>
  <c r="E638" i="7"/>
  <c r="F639" i="7" s="1"/>
  <c r="G640" i="7" s="1"/>
  <c r="H641" i="7" s="1"/>
  <c r="I642" i="7" s="1"/>
  <c r="J643" i="7" s="1"/>
  <c r="K644" i="7" s="1"/>
  <c r="L645" i="7" s="1"/>
  <c r="M645" i="7" s="1"/>
  <c r="K200" i="7"/>
  <c r="I200" i="7"/>
  <c r="J201" i="7" s="1"/>
  <c r="L200" i="7"/>
  <c r="M200" i="7" s="1"/>
  <c r="J200" i="7"/>
  <c r="D390" i="7"/>
  <c r="E199" i="7"/>
  <c r="F200" i="7" s="1"/>
  <c r="G201" i="7" s="1"/>
  <c r="D199" i="7"/>
  <c r="E67" i="7"/>
  <c r="F68" i="7" s="1"/>
  <c r="G69" i="7" s="1"/>
  <c r="H70" i="7" s="1"/>
  <c r="I71" i="7" s="1"/>
  <c r="J72" i="7" s="1"/>
  <c r="K73" i="7" s="1"/>
  <c r="D67" i="7"/>
  <c r="G16" i="5"/>
  <c r="H16" i="5"/>
  <c r="D639" i="7" l="1"/>
  <c r="E639" i="7"/>
  <c r="F640" i="7" s="1"/>
  <c r="G641" i="7" s="1"/>
  <c r="H642" i="7" s="1"/>
  <c r="I643" i="7" s="1"/>
  <c r="J644" i="7" s="1"/>
  <c r="K645" i="7" s="1"/>
  <c r="L646" i="7" s="1"/>
  <c r="M646" i="7" s="1"/>
  <c r="K201" i="7"/>
  <c r="I201" i="7"/>
  <c r="J202" i="7" s="1"/>
  <c r="L201" i="7"/>
  <c r="M201" i="7" s="1"/>
  <c r="H201" i="7"/>
  <c r="I202" i="7" s="1"/>
  <c r="D391" i="7"/>
  <c r="E200" i="7"/>
  <c r="F201" i="7" s="1"/>
  <c r="G202" i="7" s="1"/>
  <c r="H203" i="7" s="1"/>
  <c r="D200" i="7"/>
  <c r="D68" i="7"/>
  <c r="E68" i="7"/>
  <c r="F69" i="7" s="1"/>
  <c r="G70" i="7" s="1"/>
  <c r="H71" i="7" s="1"/>
  <c r="I72" i="7" s="1"/>
  <c r="J73" i="7" s="1"/>
  <c r="K74" i="7" s="1"/>
  <c r="I16" i="5"/>
  <c r="J16" i="5" s="1"/>
  <c r="D640" i="7" l="1"/>
  <c r="E640" i="7"/>
  <c r="F641" i="7" s="1"/>
  <c r="G642" i="7" s="1"/>
  <c r="H643" i="7" s="1"/>
  <c r="I644" i="7" s="1"/>
  <c r="J645" i="7" s="1"/>
  <c r="K646" i="7" s="1"/>
  <c r="L647" i="7" s="1"/>
  <c r="M647" i="7" s="1"/>
  <c r="K202" i="7"/>
  <c r="L202" i="7"/>
  <c r="M202" i="7" s="1"/>
  <c r="H202" i="7"/>
  <c r="I203" i="7" s="1"/>
  <c r="D392" i="7"/>
  <c r="D201" i="7"/>
  <c r="E201" i="7"/>
  <c r="F202" i="7" s="1"/>
  <c r="G203" i="7" s="1"/>
  <c r="H204" i="7" s="1"/>
  <c r="D69" i="7"/>
  <c r="E69" i="7"/>
  <c r="F70" i="7" s="1"/>
  <c r="G71" i="7" s="1"/>
  <c r="H72" i="7" s="1"/>
  <c r="I73" i="7" s="1"/>
  <c r="J74" i="7" s="1"/>
  <c r="K75" i="7" s="1"/>
  <c r="K16" i="5"/>
  <c r="L16" i="5"/>
  <c r="D641" i="7" l="1"/>
  <c r="E641" i="7"/>
  <c r="F642" i="7" s="1"/>
  <c r="G643" i="7" s="1"/>
  <c r="H644" i="7" s="1"/>
  <c r="I645" i="7" s="1"/>
  <c r="J646" i="7" s="1"/>
  <c r="K647" i="7" s="1"/>
  <c r="K203" i="7"/>
  <c r="L203" i="7"/>
  <c r="M203" i="7" s="1"/>
  <c r="J203" i="7"/>
  <c r="D393" i="7"/>
  <c r="E202" i="7"/>
  <c r="F203" i="7" s="1"/>
  <c r="G204" i="7" s="1"/>
  <c r="D202" i="7"/>
  <c r="D70" i="7"/>
  <c r="E70" i="7"/>
  <c r="F71" i="7" s="1"/>
  <c r="G72" i="7" s="1"/>
  <c r="H73" i="7" s="1"/>
  <c r="I74" i="7" s="1"/>
  <c r="J75" i="7" s="1"/>
  <c r="K76" i="7" s="1"/>
  <c r="M16" i="5"/>
  <c r="N16" i="5" s="1"/>
  <c r="D642" i="7" l="1"/>
  <c r="E642" i="7"/>
  <c r="F643" i="7" s="1"/>
  <c r="G644" i="7" s="1"/>
  <c r="H645" i="7" s="1"/>
  <c r="I646" i="7" s="1"/>
  <c r="J647" i="7" s="1"/>
  <c r="K204" i="7"/>
  <c r="I204" i="7"/>
  <c r="J205" i="7" s="1"/>
  <c r="L204" i="7"/>
  <c r="M204" i="7" s="1"/>
  <c r="J204" i="7"/>
  <c r="D394" i="7"/>
  <c r="D203" i="7"/>
  <c r="E203" i="7"/>
  <c r="F204" i="7" s="1"/>
  <c r="G205" i="7" s="1"/>
  <c r="D71" i="7"/>
  <c r="E71" i="7"/>
  <c r="F72" i="7" s="1"/>
  <c r="G73" i="7" s="1"/>
  <c r="H74" i="7" s="1"/>
  <c r="I75" i="7" s="1"/>
  <c r="J76" i="7" s="1"/>
  <c r="K77" i="7" s="1"/>
  <c r="D643" i="7" l="1"/>
  <c r="E643" i="7"/>
  <c r="F644" i="7" s="1"/>
  <c r="G645" i="7" s="1"/>
  <c r="H646" i="7" s="1"/>
  <c r="I647" i="7" s="1"/>
  <c r="K205" i="7"/>
  <c r="I205" i="7"/>
  <c r="J206" i="7" s="1"/>
  <c r="L205" i="7"/>
  <c r="M205" i="7" s="1"/>
  <c r="H205" i="7"/>
  <c r="I206" i="7" s="1"/>
  <c r="D395" i="7"/>
  <c r="D204" i="7"/>
  <c r="E204" i="7"/>
  <c r="F205" i="7" s="1"/>
  <c r="G206" i="7" s="1"/>
  <c r="H207" i="7" s="1"/>
  <c r="E72" i="7"/>
  <c r="F73" i="7" s="1"/>
  <c r="G74" i="7" s="1"/>
  <c r="H75" i="7" s="1"/>
  <c r="I76" i="7" s="1"/>
  <c r="J77" i="7" s="1"/>
  <c r="K78" i="7" s="1"/>
  <c r="D72" i="7"/>
  <c r="D644" i="7" l="1"/>
  <c r="E644" i="7"/>
  <c r="F645" i="7" s="1"/>
  <c r="G646" i="7" s="1"/>
  <c r="H647" i="7" s="1"/>
  <c r="K206" i="7"/>
  <c r="L206" i="7"/>
  <c r="M206" i="7" s="1"/>
  <c r="H206" i="7"/>
  <c r="I207" i="7" s="1"/>
  <c r="D396" i="7"/>
  <c r="E205" i="7"/>
  <c r="F206" i="7" s="1"/>
  <c r="G207" i="7" s="1"/>
  <c r="H208" i="7" s="1"/>
  <c r="D205" i="7"/>
  <c r="D73" i="7"/>
  <c r="E73" i="7"/>
  <c r="F74" i="7" s="1"/>
  <c r="G75" i="7" s="1"/>
  <c r="H76" i="7" s="1"/>
  <c r="I77" i="7" s="1"/>
  <c r="J78" i="7" s="1"/>
  <c r="K79" i="7" s="1"/>
  <c r="D645" i="7" l="1"/>
  <c r="E645" i="7"/>
  <c r="F646" i="7" s="1"/>
  <c r="G647" i="7" s="1"/>
  <c r="K207" i="7"/>
  <c r="L207" i="7"/>
  <c r="M207" i="7" s="1"/>
  <c r="J207" i="7"/>
  <c r="D397" i="7"/>
  <c r="E206" i="7"/>
  <c r="F207" i="7" s="1"/>
  <c r="G208" i="7" s="1"/>
  <c r="D206" i="7"/>
  <c r="D74" i="7"/>
  <c r="E74" i="7"/>
  <c r="F75" i="7" s="1"/>
  <c r="G76" i="7" s="1"/>
  <c r="H77" i="7" s="1"/>
  <c r="I78" i="7" s="1"/>
  <c r="J79" i="7" s="1"/>
  <c r="K80" i="7" s="1"/>
  <c r="D646" i="7" l="1"/>
  <c r="E646" i="7"/>
  <c r="F647" i="7" s="1"/>
  <c r="K208" i="7"/>
  <c r="I208" i="7"/>
  <c r="J209" i="7" s="1"/>
  <c r="L208" i="7"/>
  <c r="M208" i="7" s="1"/>
  <c r="J208" i="7"/>
  <c r="D398" i="7"/>
  <c r="E207" i="7"/>
  <c r="F208" i="7" s="1"/>
  <c r="G209" i="7" s="1"/>
  <c r="D207" i="7"/>
  <c r="E75" i="7"/>
  <c r="F76" i="7" s="1"/>
  <c r="G77" i="7" s="1"/>
  <c r="H78" i="7" s="1"/>
  <c r="I79" i="7" s="1"/>
  <c r="J80" i="7" s="1"/>
  <c r="K81" i="7" s="1"/>
  <c r="D75" i="7"/>
  <c r="E647" i="7" l="1"/>
  <c r="D647" i="7"/>
  <c r="K209" i="7"/>
  <c r="I209" i="7"/>
  <c r="J210" i="7" s="1"/>
  <c r="L209" i="7"/>
  <c r="M209" i="7" s="1"/>
  <c r="H209" i="7"/>
  <c r="I210" i="7" s="1"/>
  <c r="D399" i="7"/>
  <c r="D208" i="7"/>
  <c r="E208" i="7"/>
  <c r="F209" i="7" s="1"/>
  <c r="G210" i="7" s="1"/>
  <c r="H211" i="7" s="1"/>
  <c r="E76" i="7"/>
  <c r="F77" i="7" s="1"/>
  <c r="G78" i="7" s="1"/>
  <c r="H79" i="7" s="1"/>
  <c r="I80" i="7" s="1"/>
  <c r="J81" i="7" s="1"/>
  <c r="K82" i="7" s="1"/>
  <c r="D76" i="7"/>
  <c r="K210" i="7" l="1"/>
  <c r="L210" i="7"/>
  <c r="M210" i="7" s="1"/>
  <c r="H210" i="7"/>
  <c r="I211" i="7" s="1"/>
  <c r="D400" i="7"/>
  <c r="E209" i="7"/>
  <c r="F210" i="7" s="1"/>
  <c r="G211" i="7" s="1"/>
  <c r="H212" i="7" s="1"/>
  <c r="D209" i="7"/>
  <c r="D77" i="7"/>
  <c r="E77" i="7"/>
  <c r="F78" i="7" s="1"/>
  <c r="G79" i="7" s="1"/>
  <c r="H80" i="7" s="1"/>
  <c r="I81" i="7" s="1"/>
  <c r="J82" i="7" s="1"/>
  <c r="K83" i="7" s="1"/>
  <c r="K211" i="7" l="1"/>
  <c r="L211" i="7"/>
  <c r="M211" i="7" s="1"/>
  <c r="J211" i="7"/>
  <c r="D401" i="7"/>
  <c r="E210" i="7"/>
  <c r="F211" i="7" s="1"/>
  <c r="G212" i="7" s="1"/>
  <c r="D210" i="7"/>
  <c r="E78" i="7"/>
  <c r="F79" i="7" s="1"/>
  <c r="G80" i="7" s="1"/>
  <c r="H81" i="7" s="1"/>
  <c r="I82" i="7" s="1"/>
  <c r="J83" i="7" s="1"/>
  <c r="K84" i="7" s="1"/>
  <c r="D78" i="7"/>
  <c r="K212" i="7" l="1"/>
  <c r="I212" i="7"/>
  <c r="J213" i="7" s="1"/>
  <c r="L212" i="7"/>
  <c r="M212" i="7" s="1"/>
  <c r="J212" i="7"/>
  <c r="D402" i="7"/>
  <c r="E211" i="7"/>
  <c r="F212" i="7" s="1"/>
  <c r="G213" i="7" s="1"/>
  <c r="D211" i="7"/>
  <c r="E79" i="7"/>
  <c r="F80" i="7" s="1"/>
  <c r="G81" i="7" s="1"/>
  <c r="H82" i="7" s="1"/>
  <c r="I83" i="7" s="1"/>
  <c r="J84" i="7" s="1"/>
  <c r="K85" i="7" s="1"/>
  <c r="D79" i="7"/>
  <c r="H214" i="7" l="1"/>
  <c r="K213" i="7"/>
  <c r="L214" i="7" s="1"/>
  <c r="M214" i="7" s="1"/>
  <c r="I213" i="7"/>
  <c r="L213" i="7"/>
  <c r="M213" i="7" s="1"/>
  <c r="H213" i="7"/>
  <c r="I214" i="7" s="1"/>
  <c r="D403" i="7"/>
  <c r="D212" i="7"/>
  <c r="E212" i="7"/>
  <c r="F213" i="7" s="1"/>
  <c r="D80" i="7"/>
  <c r="E80" i="7"/>
  <c r="F81" i="7" s="1"/>
  <c r="G82" i="7" s="1"/>
  <c r="H83" i="7" s="1"/>
  <c r="I84" i="7" s="1"/>
  <c r="J85" i="7" s="1"/>
  <c r="K86" i="7" s="1"/>
  <c r="G214" i="7" l="1"/>
  <c r="H215" i="7" s="1"/>
  <c r="K214" i="7"/>
  <c r="L215" i="7" s="1"/>
  <c r="M215" i="7" s="1"/>
  <c r="J214" i="7"/>
  <c r="K215" i="7" s="1"/>
  <c r="L216" i="7" s="1"/>
  <c r="M216" i="7" s="1"/>
  <c r="I215" i="7"/>
  <c r="J216" i="7" s="1"/>
  <c r="K217" i="7" s="1"/>
  <c r="D404" i="7"/>
  <c r="E213" i="7"/>
  <c r="F214" i="7" s="1"/>
  <c r="G215" i="7" s="1"/>
  <c r="H216" i="7" s="1"/>
  <c r="I217" i="7" s="1"/>
  <c r="J218" i="7" s="1"/>
  <c r="D213" i="7"/>
  <c r="E81" i="7"/>
  <c r="F82" i="7" s="1"/>
  <c r="G83" i="7" s="1"/>
  <c r="H84" i="7" s="1"/>
  <c r="I85" i="7" s="1"/>
  <c r="J86" i="7" s="1"/>
  <c r="K87" i="7" s="1"/>
  <c r="D81" i="7"/>
  <c r="J215" i="7" l="1"/>
  <c r="K216" i="7" s="1"/>
  <c r="L217" i="7" s="1"/>
  <c r="M217" i="7" s="1"/>
  <c r="L218" i="7" s="1"/>
  <c r="D405" i="7"/>
  <c r="E214" i="7"/>
  <c r="F215" i="7" s="1"/>
  <c r="G216" i="7" s="1"/>
  <c r="D214" i="7"/>
  <c r="E82" i="7"/>
  <c r="F83" i="7" s="1"/>
  <c r="G84" i="7" s="1"/>
  <c r="H85" i="7" s="1"/>
  <c r="I86" i="7" s="1"/>
  <c r="J87" i="7" s="1"/>
  <c r="K88" i="7" s="1"/>
  <c r="D82" i="7"/>
  <c r="M218" i="7" l="1"/>
  <c r="K219" i="7"/>
  <c r="I216" i="7"/>
  <c r="J217" i="7" s="1"/>
  <c r="K218" i="7" s="1"/>
  <c r="L219" i="7" s="1"/>
  <c r="M219" i="7" s="1"/>
  <c r="D406" i="7"/>
  <c r="E215" i="7"/>
  <c r="F216" i="7" s="1"/>
  <c r="G217" i="7" s="1"/>
  <c r="H218" i="7" s="1"/>
  <c r="I219" i="7" s="1"/>
  <c r="J220" i="7" s="1"/>
  <c r="D215" i="7"/>
  <c r="D83" i="7"/>
  <c r="E83" i="7"/>
  <c r="F84" i="7" s="1"/>
  <c r="G85" i="7" s="1"/>
  <c r="H86" i="7" s="1"/>
  <c r="I87" i="7" s="1"/>
  <c r="J88" i="7" s="1"/>
  <c r="K89" i="7" s="1"/>
  <c r="H217" i="7" l="1"/>
  <c r="I218" i="7" s="1"/>
  <c r="J219" i="7" s="1"/>
  <c r="K220" i="7" s="1"/>
  <c r="L220" i="7"/>
  <c r="M220" i="7" s="1"/>
  <c r="D407" i="7"/>
  <c r="D216" i="7"/>
  <c r="E216" i="7"/>
  <c r="F217" i="7" s="1"/>
  <c r="G218" i="7" s="1"/>
  <c r="H219" i="7" s="1"/>
  <c r="I220" i="7" s="1"/>
  <c r="J221" i="7" s="1"/>
  <c r="E84" i="7"/>
  <c r="F85" i="7" s="1"/>
  <c r="G86" i="7" s="1"/>
  <c r="H87" i="7" s="1"/>
  <c r="I88" i="7" s="1"/>
  <c r="J89" i="7" s="1"/>
  <c r="K90" i="7" s="1"/>
  <c r="D84" i="7"/>
  <c r="L221" i="7" l="1"/>
  <c r="M221" i="7" s="1"/>
  <c r="K221" i="7"/>
  <c r="L222" i="7" s="1"/>
  <c r="M222" i="7" s="1"/>
  <c r="D408" i="7"/>
  <c r="E217" i="7"/>
  <c r="F218" i="7" s="1"/>
  <c r="G219" i="7" s="1"/>
  <c r="H220" i="7" s="1"/>
  <c r="I221" i="7" s="1"/>
  <c r="J222" i="7" s="1"/>
  <c r="K223" i="7" s="1"/>
  <c r="D217" i="7"/>
  <c r="D85" i="7"/>
  <c r="E85" i="7"/>
  <c r="F86" i="7" s="1"/>
  <c r="G87" i="7" s="1"/>
  <c r="H88" i="7" s="1"/>
  <c r="I89" i="7" s="1"/>
  <c r="J90" i="7" s="1"/>
  <c r="K91" i="7" s="1"/>
  <c r="K222" i="7" l="1"/>
  <c r="L223" i="7" s="1"/>
  <c r="M223" i="7" s="1"/>
  <c r="L224" i="7" s="1"/>
  <c r="M224" i="7" s="1"/>
  <c r="D409" i="7"/>
  <c r="E218" i="7"/>
  <c r="F219" i="7" s="1"/>
  <c r="G220" i="7" s="1"/>
  <c r="H221" i="7" s="1"/>
  <c r="I222" i="7" s="1"/>
  <c r="J223" i="7" s="1"/>
  <c r="K224" i="7" s="1"/>
  <c r="D218" i="7"/>
  <c r="D86" i="7"/>
  <c r="E86" i="7"/>
  <c r="F87" i="7" s="1"/>
  <c r="G88" i="7" s="1"/>
  <c r="H89" i="7" s="1"/>
  <c r="I90" i="7" s="1"/>
  <c r="J91" i="7" s="1"/>
  <c r="K92" i="7" s="1"/>
  <c r="L225" i="7" l="1"/>
  <c r="M225" i="7" s="1"/>
  <c r="D410" i="7"/>
  <c r="E219" i="7"/>
  <c r="F220" i="7" s="1"/>
  <c r="G221" i="7" s="1"/>
  <c r="H222" i="7" s="1"/>
  <c r="I223" i="7" s="1"/>
  <c r="J224" i="7" s="1"/>
  <c r="K225" i="7" s="1"/>
  <c r="L226" i="7" s="1"/>
  <c r="M226" i="7" s="1"/>
  <c r="D219" i="7"/>
  <c r="D87" i="7"/>
  <c r="E87" i="7"/>
  <c r="F88" i="7" s="1"/>
  <c r="G89" i="7" s="1"/>
  <c r="H90" i="7" s="1"/>
  <c r="I91" i="7" s="1"/>
  <c r="J92" i="7" s="1"/>
  <c r="K93" i="7" s="1"/>
  <c r="D411" i="7" l="1"/>
  <c r="D220" i="7"/>
  <c r="E220" i="7"/>
  <c r="F221" i="7" s="1"/>
  <c r="G222" i="7" s="1"/>
  <c r="H223" i="7" s="1"/>
  <c r="I224" i="7" s="1"/>
  <c r="J225" i="7" s="1"/>
  <c r="K226" i="7" s="1"/>
  <c r="L227" i="7" s="1"/>
  <c r="M227" i="7" s="1"/>
  <c r="E88" i="7"/>
  <c r="F89" i="7" s="1"/>
  <c r="G90" i="7" s="1"/>
  <c r="H91" i="7" s="1"/>
  <c r="I92" i="7" s="1"/>
  <c r="J93" i="7" s="1"/>
  <c r="K94" i="7" s="1"/>
  <c r="D88" i="7"/>
  <c r="D412" i="7" l="1"/>
  <c r="D221" i="7"/>
  <c r="E221" i="7"/>
  <c r="F222" i="7" s="1"/>
  <c r="G223" i="7" s="1"/>
  <c r="H224" i="7" s="1"/>
  <c r="I225" i="7" s="1"/>
  <c r="J226" i="7" s="1"/>
  <c r="K227" i="7" s="1"/>
  <c r="L228" i="7" s="1"/>
  <c r="M228" i="7" s="1"/>
  <c r="D89" i="7"/>
  <c r="E89" i="7"/>
  <c r="F90" i="7" s="1"/>
  <c r="G91" i="7" s="1"/>
  <c r="H92" i="7" s="1"/>
  <c r="I93" i="7" s="1"/>
  <c r="J94" i="7" s="1"/>
  <c r="K95" i="7" s="1"/>
  <c r="D413" i="7" l="1"/>
  <c r="E222" i="7"/>
  <c r="F223" i="7" s="1"/>
  <c r="G224" i="7" s="1"/>
  <c r="H225" i="7" s="1"/>
  <c r="I226" i="7" s="1"/>
  <c r="J227" i="7" s="1"/>
  <c r="K228" i="7" s="1"/>
  <c r="L229" i="7" s="1"/>
  <c r="M229" i="7" s="1"/>
  <c r="D222" i="7"/>
  <c r="D90" i="7"/>
  <c r="E90" i="7"/>
  <c r="F91" i="7" s="1"/>
  <c r="G92" i="7" s="1"/>
  <c r="H93" i="7" s="1"/>
  <c r="I94" i="7" s="1"/>
  <c r="J95" i="7" s="1"/>
  <c r="K96" i="7" s="1"/>
  <c r="D414" i="7" l="1"/>
  <c r="E223" i="7"/>
  <c r="F224" i="7" s="1"/>
  <c r="G225" i="7" s="1"/>
  <c r="H226" i="7" s="1"/>
  <c r="I227" i="7" s="1"/>
  <c r="J228" i="7" s="1"/>
  <c r="K229" i="7" s="1"/>
  <c r="L230" i="7" s="1"/>
  <c r="M230" i="7" s="1"/>
  <c r="D223" i="7"/>
  <c r="E91" i="7"/>
  <c r="F92" i="7" s="1"/>
  <c r="G93" i="7" s="1"/>
  <c r="H94" i="7" s="1"/>
  <c r="I95" i="7" s="1"/>
  <c r="J96" i="7" s="1"/>
  <c r="K97" i="7" s="1"/>
  <c r="D91" i="7"/>
  <c r="D415" i="7" l="1"/>
  <c r="E224" i="7"/>
  <c r="F225" i="7" s="1"/>
  <c r="G226" i="7" s="1"/>
  <c r="H227" i="7" s="1"/>
  <c r="I228" i="7" s="1"/>
  <c r="J229" i="7" s="1"/>
  <c r="K230" i="7" s="1"/>
  <c r="L231" i="7" s="1"/>
  <c r="M231" i="7" s="1"/>
  <c r="D224" i="7"/>
  <c r="E92" i="7"/>
  <c r="F93" i="7" s="1"/>
  <c r="G94" i="7" s="1"/>
  <c r="H95" i="7" s="1"/>
  <c r="I96" i="7" s="1"/>
  <c r="J97" i="7" s="1"/>
  <c r="K98" i="7" s="1"/>
  <c r="D92" i="7"/>
  <c r="D416" i="7" l="1"/>
  <c r="E225" i="7"/>
  <c r="F226" i="7" s="1"/>
  <c r="G227" i="7" s="1"/>
  <c r="H228" i="7" s="1"/>
  <c r="I229" i="7" s="1"/>
  <c r="J230" i="7" s="1"/>
  <c r="K231" i="7" s="1"/>
  <c r="L232" i="7" s="1"/>
  <c r="M232" i="7" s="1"/>
  <c r="D225" i="7"/>
  <c r="D93" i="7"/>
  <c r="E93" i="7"/>
  <c r="F94" i="7" s="1"/>
  <c r="G95" i="7" s="1"/>
  <c r="H96" i="7" s="1"/>
  <c r="I97" i="7" s="1"/>
  <c r="J98" i="7" s="1"/>
  <c r="K99" i="7" s="1"/>
  <c r="D417" i="7" l="1"/>
  <c r="E226" i="7"/>
  <c r="F227" i="7" s="1"/>
  <c r="G228" i="7" s="1"/>
  <c r="H229" i="7" s="1"/>
  <c r="I230" i="7" s="1"/>
  <c r="J231" i="7" s="1"/>
  <c r="K232" i="7" s="1"/>
  <c r="L233" i="7" s="1"/>
  <c r="M233" i="7" s="1"/>
  <c r="D226" i="7"/>
  <c r="E94" i="7"/>
  <c r="F95" i="7" s="1"/>
  <c r="G96" i="7" s="1"/>
  <c r="H97" i="7" s="1"/>
  <c r="I98" i="7" s="1"/>
  <c r="J99" i="7" s="1"/>
  <c r="K100" i="7" s="1"/>
  <c r="D94" i="7"/>
  <c r="D418" i="7" l="1"/>
  <c r="E227" i="7"/>
  <c r="F228" i="7" s="1"/>
  <c r="G229" i="7" s="1"/>
  <c r="H230" i="7" s="1"/>
  <c r="I231" i="7" s="1"/>
  <c r="J232" i="7" s="1"/>
  <c r="K233" i="7" s="1"/>
  <c r="L234" i="7" s="1"/>
  <c r="M234" i="7" s="1"/>
  <c r="D227" i="7"/>
  <c r="D95" i="7"/>
  <c r="E95" i="7"/>
  <c r="F96" i="7" s="1"/>
  <c r="G97" i="7" s="1"/>
  <c r="H98" i="7" s="1"/>
  <c r="I99" i="7" s="1"/>
  <c r="J100" i="7" s="1"/>
  <c r="K101" i="7" s="1"/>
  <c r="D419" i="7" l="1"/>
  <c r="D228" i="7"/>
  <c r="E228" i="7"/>
  <c r="F229" i="7" s="1"/>
  <c r="G230" i="7" s="1"/>
  <c r="H231" i="7" s="1"/>
  <c r="I232" i="7" s="1"/>
  <c r="J233" i="7" s="1"/>
  <c r="K234" i="7" s="1"/>
  <c r="L235" i="7" s="1"/>
  <c r="M235" i="7" s="1"/>
  <c r="E96" i="7"/>
  <c r="F97" i="7" s="1"/>
  <c r="G98" i="7" s="1"/>
  <c r="H99" i="7" s="1"/>
  <c r="I100" i="7" s="1"/>
  <c r="J101" i="7" s="1"/>
  <c r="K102" i="7" s="1"/>
  <c r="D96" i="7"/>
  <c r="D420" i="7" l="1"/>
  <c r="D229" i="7"/>
  <c r="E229" i="7"/>
  <c r="F230" i="7" s="1"/>
  <c r="G231" i="7" s="1"/>
  <c r="H232" i="7" s="1"/>
  <c r="I233" i="7" s="1"/>
  <c r="J234" i="7" s="1"/>
  <c r="K235" i="7" s="1"/>
  <c r="L236" i="7" s="1"/>
  <c r="M236" i="7" s="1"/>
  <c r="E97" i="7"/>
  <c r="F98" i="7" s="1"/>
  <c r="G99" i="7" s="1"/>
  <c r="H100" i="7" s="1"/>
  <c r="I101" i="7" s="1"/>
  <c r="J102" i="7" s="1"/>
  <c r="D97" i="7"/>
  <c r="D421" i="7" l="1"/>
  <c r="E230" i="7"/>
  <c r="F231" i="7" s="1"/>
  <c r="G232" i="7" s="1"/>
  <c r="H233" i="7" s="1"/>
  <c r="I234" i="7" s="1"/>
  <c r="J235" i="7" s="1"/>
  <c r="K236" i="7" s="1"/>
  <c r="L237" i="7" s="1"/>
  <c r="M237" i="7" s="1"/>
  <c r="D230" i="7"/>
  <c r="D98" i="7"/>
  <c r="E98" i="7"/>
  <c r="F99" i="7" s="1"/>
  <c r="G100" i="7" s="1"/>
  <c r="H101" i="7" s="1"/>
  <c r="I102" i="7" s="1"/>
  <c r="D422" i="7" l="1"/>
  <c r="E231" i="7"/>
  <c r="F232" i="7" s="1"/>
  <c r="G233" i="7" s="1"/>
  <c r="H234" i="7" s="1"/>
  <c r="I235" i="7" s="1"/>
  <c r="J236" i="7" s="1"/>
  <c r="K237" i="7" s="1"/>
  <c r="L238" i="7" s="1"/>
  <c r="M238" i="7" s="1"/>
  <c r="D231" i="7"/>
  <c r="E99" i="7"/>
  <c r="F100" i="7" s="1"/>
  <c r="G101" i="7" s="1"/>
  <c r="H102" i="7" s="1"/>
  <c r="D99" i="7"/>
  <c r="D423" i="7" l="1"/>
  <c r="D232" i="7"/>
  <c r="E232" i="7"/>
  <c r="F233" i="7" s="1"/>
  <c r="G234" i="7" s="1"/>
  <c r="H235" i="7" s="1"/>
  <c r="I236" i="7" s="1"/>
  <c r="J237" i="7" s="1"/>
  <c r="K238" i="7" s="1"/>
  <c r="L239" i="7" s="1"/>
  <c r="M239" i="7" s="1"/>
  <c r="E100" i="7"/>
  <c r="F101" i="7" s="1"/>
  <c r="G102" i="7" s="1"/>
  <c r="D100" i="7"/>
  <c r="D424" i="7" l="1"/>
  <c r="D233" i="7"/>
  <c r="E233" i="7"/>
  <c r="F234" i="7" s="1"/>
  <c r="G235" i="7" s="1"/>
  <c r="H236" i="7" s="1"/>
  <c r="I237" i="7" s="1"/>
  <c r="J238" i="7" s="1"/>
  <c r="K239" i="7" s="1"/>
  <c r="L240" i="7" s="1"/>
  <c r="M240" i="7" s="1"/>
  <c r="D101" i="7"/>
  <c r="E101" i="7"/>
  <c r="F102" i="7" s="1"/>
  <c r="D425" i="7" l="1"/>
  <c r="D234" i="7"/>
  <c r="E234" i="7"/>
  <c r="F235" i="7" s="1"/>
  <c r="G236" i="7" s="1"/>
  <c r="H237" i="7" s="1"/>
  <c r="I238" i="7" s="1"/>
  <c r="J239" i="7" s="1"/>
  <c r="K240" i="7" s="1"/>
  <c r="L241" i="7" s="1"/>
  <c r="M241" i="7" s="1"/>
  <c r="D102" i="7"/>
  <c r="E102" i="7"/>
  <c r="D426" i="7" l="1"/>
  <c r="E235" i="7"/>
  <c r="F236" i="7" s="1"/>
  <c r="G237" i="7" s="1"/>
  <c r="H238" i="7" s="1"/>
  <c r="I239" i="7" s="1"/>
  <c r="J240" i="7" s="1"/>
  <c r="K241" i="7" s="1"/>
  <c r="L242" i="7" s="1"/>
  <c r="M242" i="7" s="1"/>
  <c r="D235" i="7"/>
  <c r="D427" i="7" l="1"/>
  <c r="E236" i="7"/>
  <c r="F237" i="7" s="1"/>
  <c r="G238" i="7" s="1"/>
  <c r="H239" i="7" s="1"/>
  <c r="I240" i="7" s="1"/>
  <c r="J241" i="7" s="1"/>
  <c r="K242" i="7" s="1"/>
  <c r="L243" i="7" s="1"/>
  <c r="M243" i="7" s="1"/>
  <c r="D236" i="7"/>
  <c r="D428" i="7" l="1"/>
  <c r="E237" i="7"/>
  <c r="F238" i="7" s="1"/>
  <c r="G239" i="7" s="1"/>
  <c r="H240" i="7" s="1"/>
  <c r="I241" i="7" s="1"/>
  <c r="J242" i="7" s="1"/>
  <c r="K243" i="7" s="1"/>
  <c r="L244" i="7" s="1"/>
  <c r="M244" i="7" s="1"/>
  <c r="D237" i="7"/>
  <c r="D429" i="7" l="1"/>
  <c r="D238" i="7"/>
  <c r="E238" i="7"/>
  <c r="F239" i="7" s="1"/>
  <c r="G240" i="7" s="1"/>
  <c r="H241" i="7" s="1"/>
  <c r="I242" i="7" s="1"/>
  <c r="J243" i="7" s="1"/>
  <c r="K244" i="7" s="1"/>
  <c r="L245" i="7" s="1"/>
  <c r="M245" i="7" s="1"/>
  <c r="D430" i="7" l="1"/>
  <c r="D239" i="7"/>
  <c r="E239" i="7"/>
  <c r="F240" i="7" s="1"/>
  <c r="G241" i="7" s="1"/>
  <c r="H242" i="7" s="1"/>
  <c r="I243" i="7" s="1"/>
  <c r="J244" i="7" s="1"/>
  <c r="K245" i="7" s="1"/>
  <c r="L246" i="7" s="1"/>
  <c r="M246" i="7" s="1"/>
  <c r="D431" i="7" l="1"/>
  <c r="D240" i="7"/>
  <c r="E240" i="7"/>
  <c r="F241" i="7" s="1"/>
  <c r="G242" i="7" s="1"/>
  <c r="H243" i="7" s="1"/>
  <c r="I244" i="7" s="1"/>
  <c r="J245" i="7" s="1"/>
  <c r="K246" i="7" s="1"/>
  <c r="L247" i="7" s="1"/>
  <c r="M247" i="7" s="1"/>
  <c r="D432" i="7" l="1"/>
  <c r="E241" i="7"/>
  <c r="F242" i="7" s="1"/>
  <c r="G243" i="7" s="1"/>
  <c r="H244" i="7" s="1"/>
  <c r="I245" i="7" s="1"/>
  <c r="J246" i="7" s="1"/>
  <c r="K247" i="7" s="1"/>
  <c r="L248" i="7" s="1"/>
  <c r="M248" i="7" s="1"/>
  <c r="D241" i="7"/>
  <c r="D433" i="7" l="1"/>
  <c r="E242" i="7"/>
  <c r="F243" i="7" s="1"/>
  <c r="G244" i="7" s="1"/>
  <c r="H245" i="7" s="1"/>
  <c r="I246" i="7" s="1"/>
  <c r="J247" i="7" s="1"/>
  <c r="K248" i="7" s="1"/>
  <c r="L249" i="7" s="1"/>
  <c r="M249" i="7" s="1"/>
  <c r="D242" i="7"/>
  <c r="D434" i="7" l="1"/>
  <c r="D243" i="7"/>
  <c r="E243" i="7"/>
  <c r="F244" i="7" s="1"/>
  <c r="G245" i="7" s="1"/>
  <c r="H246" i="7" s="1"/>
  <c r="I247" i="7" s="1"/>
  <c r="J248" i="7" s="1"/>
  <c r="K249" i="7" s="1"/>
  <c r="L250" i="7" s="1"/>
  <c r="M250" i="7" s="1"/>
  <c r="D435" i="7" l="1"/>
  <c r="D244" i="7"/>
  <c r="E244" i="7"/>
  <c r="F245" i="7" s="1"/>
  <c r="G246" i="7" s="1"/>
  <c r="H247" i="7" s="1"/>
  <c r="I248" i="7" s="1"/>
  <c r="J249" i="7" s="1"/>
  <c r="K250" i="7" s="1"/>
  <c r="L251" i="7" s="1"/>
  <c r="M251" i="7" s="1"/>
  <c r="D436" i="7" l="1"/>
  <c r="D245" i="7"/>
  <c r="E245" i="7"/>
  <c r="F246" i="7" s="1"/>
  <c r="G247" i="7" s="1"/>
  <c r="H248" i="7" s="1"/>
  <c r="I249" i="7" s="1"/>
  <c r="J250" i="7" s="1"/>
  <c r="K251" i="7" s="1"/>
  <c r="L252" i="7" s="1"/>
  <c r="M252" i="7" s="1"/>
  <c r="D437" i="7" l="1"/>
  <c r="E246" i="7"/>
  <c r="F247" i="7" s="1"/>
  <c r="G248" i="7" s="1"/>
  <c r="H249" i="7" s="1"/>
  <c r="I250" i="7" s="1"/>
  <c r="J251" i="7" s="1"/>
  <c r="K252" i="7" s="1"/>
  <c r="L253" i="7" s="1"/>
  <c r="M253" i="7" s="1"/>
  <c r="D246" i="7"/>
  <c r="D438" i="7" l="1"/>
  <c r="E247" i="7"/>
  <c r="F248" i="7" s="1"/>
  <c r="G249" i="7" s="1"/>
  <c r="H250" i="7" s="1"/>
  <c r="I251" i="7" s="1"/>
  <c r="J252" i="7" s="1"/>
  <c r="K253" i="7" s="1"/>
  <c r="L254" i="7" s="1"/>
  <c r="M254" i="7" s="1"/>
  <c r="D247" i="7"/>
  <c r="D439" i="7" l="1"/>
  <c r="E248" i="7"/>
  <c r="F249" i="7" s="1"/>
  <c r="G250" i="7" s="1"/>
  <c r="H251" i="7" s="1"/>
  <c r="I252" i="7" s="1"/>
  <c r="J253" i="7" s="1"/>
  <c r="K254" i="7" s="1"/>
  <c r="L255" i="7" s="1"/>
  <c r="M255" i="7" s="1"/>
  <c r="D248" i="7"/>
  <c r="D440" i="7" l="1"/>
  <c r="E249" i="7"/>
  <c r="F250" i="7" s="1"/>
  <c r="G251" i="7" s="1"/>
  <c r="H252" i="7" s="1"/>
  <c r="I253" i="7" s="1"/>
  <c r="J254" i="7" s="1"/>
  <c r="K255" i="7" s="1"/>
  <c r="L256" i="7" s="1"/>
  <c r="M256" i="7" s="1"/>
  <c r="D249" i="7"/>
  <c r="D441" i="7" l="1"/>
  <c r="E250" i="7"/>
  <c r="F251" i="7" s="1"/>
  <c r="G252" i="7" s="1"/>
  <c r="H253" i="7" s="1"/>
  <c r="I254" i="7" s="1"/>
  <c r="J255" i="7" s="1"/>
  <c r="K256" i="7" s="1"/>
  <c r="L257" i="7" s="1"/>
  <c r="M257" i="7" s="1"/>
  <c r="D250" i="7"/>
  <c r="D442" i="7" l="1"/>
  <c r="E251" i="7"/>
  <c r="F252" i="7" s="1"/>
  <c r="G253" i="7" s="1"/>
  <c r="H254" i="7" s="1"/>
  <c r="I255" i="7" s="1"/>
  <c r="J256" i="7" s="1"/>
  <c r="K257" i="7" s="1"/>
  <c r="L258" i="7" s="1"/>
  <c r="M258" i="7" s="1"/>
  <c r="D251" i="7"/>
  <c r="D443" i="7" l="1"/>
  <c r="D252" i="7"/>
  <c r="E252" i="7"/>
  <c r="F253" i="7" s="1"/>
  <c r="G254" i="7" s="1"/>
  <c r="H255" i="7" s="1"/>
  <c r="I256" i="7" s="1"/>
  <c r="J257" i="7" s="1"/>
  <c r="K258" i="7" s="1"/>
  <c r="L259" i="7" s="1"/>
  <c r="M259" i="7" s="1"/>
  <c r="D444" i="7" l="1"/>
  <c r="E253" i="7"/>
  <c r="F254" i="7" s="1"/>
  <c r="G255" i="7" s="1"/>
  <c r="H256" i="7" s="1"/>
  <c r="I257" i="7" s="1"/>
  <c r="J258" i="7" s="1"/>
  <c r="K259" i="7" s="1"/>
  <c r="L260" i="7" s="1"/>
  <c r="M260" i="7" s="1"/>
  <c r="D253" i="7"/>
  <c r="D445" i="7" l="1"/>
  <c r="E254" i="7"/>
  <c r="F255" i="7" s="1"/>
  <c r="D254" i="7"/>
  <c r="E256" i="7" l="1"/>
  <c r="G256" i="7"/>
  <c r="H257" i="7" s="1"/>
  <c r="I258" i="7" s="1"/>
  <c r="J259" i="7" s="1"/>
  <c r="K260" i="7" s="1"/>
  <c r="L261" i="7" s="1"/>
  <c r="M261" i="7" s="1"/>
  <c r="D446" i="7"/>
  <c r="E255" i="7"/>
  <c r="F256" i="7" s="1"/>
  <c r="D255" i="7"/>
  <c r="G257" i="7" l="1"/>
  <c r="H258" i="7" s="1"/>
  <c r="I259" i="7" s="1"/>
  <c r="J260" i="7" s="1"/>
  <c r="K261" i="7" s="1"/>
  <c r="L262" i="7" s="1"/>
  <c r="M262" i="7" s="1"/>
  <c r="E257" i="7"/>
  <c r="F258" i="7" s="1"/>
  <c r="F257" i="7"/>
  <c r="D447" i="7"/>
  <c r="G258" i="7" l="1"/>
  <c r="H259" i="7" s="1"/>
  <c r="I260" i="7" s="1"/>
  <c r="J261" i="7" s="1"/>
  <c r="K262" i="7" s="1"/>
  <c r="L263" i="7" s="1"/>
  <c r="M263" i="7" s="1"/>
  <c r="E258" i="7"/>
  <c r="F259" i="7" s="1"/>
  <c r="E259" i="7"/>
  <c r="G259" i="7"/>
  <c r="H260" i="7" s="1"/>
  <c r="I261" i="7" s="1"/>
  <c r="J262" i="7" s="1"/>
  <c r="K263" i="7" s="1"/>
  <c r="L264" i="7" s="1"/>
  <c r="M264" i="7" s="1"/>
  <c r="D448" i="7"/>
  <c r="F260" i="7" l="1"/>
  <c r="G260" i="7"/>
  <c r="H261" i="7" s="1"/>
  <c r="I262" i="7" s="1"/>
  <c r="J263" i="7" s="1"/>
  <c r="K264" i="7" s="1"/>
  <c r="L265" i="7" s="1"/>
  <c r="M265" i="7" s="1"/>
  <c r="E260" i="7"/>
  <c r="F261" i="7" s="1"/>
  <c r="D449" i="7"/>
  <c r="G262" i="7" l="1"/>
  <c r="H263" i="7" s="1"/>
  <c r="I264" i="7" s="1"/>
  <c r="J265" i="7" s="1"/>
  <c r="E262" i="7"/>
  <c r="F263" i="7" s="1"/>
  <c r="G261" i="7"/>
  <c r="H262" i="7" s="1"/>
  <c r="I263" i="7" s="1"/>
  <c r="J264" i="7" s="1"/>
  <c r="K265" i="7" s="1"/>
  <c r="L266" i="7" s="1"/>
  <c r="M266" i="7" s="1"/>
  <c r="E261" i="7"/>
  <c r="F262" i="7" s="1"/>
  <c r="D450" i="7"/>
  <c r="G263" i="7" l="1"/>
  <c r="H264" i="7" s="1"/>
  <c r="I265" i="7" s="1"/>
  <c r="J266" i="7" s="1"/>
  <c r="E263" i="7"/>
  <c r="F264" i="7" s="1"/>
  <c r="G264" i="7"/>
  <c r="H265" i="7" s="1"/>
  <c r="I266" i="7" s="1"/>
  <c r="E264" i="7"/>
  <c r="F265" i="7" s="1"/>
  <c r="K266" i="7"/>
  <c r="L267" i="7" s="1"/>
  <c r="M267" i="7" s="1"/>
  <c r="D451" i="7"/>
  <c r="G266" i="7" l="1"/>
  <c r="H267" i="7" s="1"/>
  <c r="E266" i="7"/>
  <c r="F267" i="7" s="1"/>
  <c r="J267" i="7"/>
  <c r="G265" i="7"/>
  <c r="H266" i="7" s="1"/>
  <c r="I267" i="7" s="1"/>
  <c r="E265" i="7"/>
  <c r="F266" i="7" s="1"/>
  <c r="K267" i="7"/>
  <c r="L268" i="7" s="1"/>
  <c r="M268" i="7" s="1"/>
  <c r="D452" i="7"/>
  <c r="G267" i="7" l="1"/>
  <c r="H268" i="7" s="1"/>
  <c r="E267" i="7"/>
  <c r="F268" i="7" s="1"/>
  <c r="J268" i="7"/>
  <c r="K268" i="7"/>
  <c r="L269" i="7" s="1"/>
  <c r="M269" i="7" s="1"/>
  <c r="G268" i="7"/>
  <c r="E268" i="7"/>
  <c r="F269" i="7" s="1"/>
  <c r="I268" i="7"/>
  <c r="J269" i="7" s="1"/>
  <c r="D453" i="7"/>
  <c r="E270" i="7" l="1"/>
  <c r="H269" i="7"/>
  <c r="I270" i="7" s="1"/>
  <c r="K269" i="7"/>
  <c r="G269" i="7"/>
  <c r="E269" i="7"/>
  <c r="F270" i="7" s="1"/>
  <c r="I269" i="7"/>
  <c r="J270" i="7" s="1"/>
  <c r="D454" i="7"/>
  <c r="K270" i="7" l="1"/>
  <c r="L270" i="7"/>
  <c r="M270" i="7" s="1"/>
  <c r="K271" i="7"/>
  <c r="E271" i="7"/>
  <c r="H270" i="7"/>
  <c r="I271" i="7" s="1"/>
  <c r="J272" i="7" s="1"/>
  <c r="J271" i="7"/>
  <c r="G270" i="7"/>
  <c r="H271" i="7" s="1"/>
  <c r="I272" i="7" s="1"/>
  <c r="D455" i="7"/>
  <c r="L271" i="7" l="1"/>
  <c r="M271" i="7" s="1"/>
  <c r="L272" i="7" s="1"/>
  <c r="F271" i="7"/>
  <c r="G271" i="7"/>
  <c r="H272" i="7" s="1"/>
  <c r="I273" i="7" s="1"/>
  <c r="D456" i="7"/>
  <c r="M272" i="7" l="1"/>
  <c r="K273" i="7"/>
  <c r="J274" i="7"/>
  <c r="K272" i="7"/>
  <c r="F272" i="7"/>
  <c r="G272" i="7"/>
  <c r="H273" i="7" s="1"/>
  <c r="E272" i="7"/>
  <c r="F273" i="7" s="1"/>
  <c r="D457" i="7"/>
  <c r="L273" i="7" l="1"/>
  <c r="M273" i="7" s="1"/>
  <c r="L274" i="7" s="1"/>
  <c r="J273" i="7"/>
  <c r="K274" i="7" s="1"/>
  <c r="G274" i="7"/>
  <c r="E274" i="7"/>
  <c r="F275" i="7" s="1"/>
  <c r="G273" i="7"/>
  <c r="H274" i="7" s="1"/>
  <c r="I275" i="7" s="1"/>
  <c r="E273" i="7"/>
  <c r="F274" i="7" s="1"/>
  <c r="D458" i="7"/>
  <c r="M274" i="7" l="1"/>
  <c r="L275" i="7" s="1"/>
  <c r="M275" i="7" s="1"/>
  <c r="K275" i="7"/>
  <c r="I274" i="7"/>
  <c r="J275" i="7" s="1"/>
  <c r="G275" i="7"/>
  <c r="H276" i="7" s="1"/>
  <c r="E275" i="7"/>
  <c r="F276" i="7" s="1"/>
  <c r="E276" i="7"/>
  <c r="D459" i="7"/>
  <c r="K276" i="7" l="1"/>
  <c r="L276" i="7"/>
  <c r="M276" i="7" s="1"/>
  <c r="H275" i="7"/>
  <c r="J276" i="7"/>
  <c r="K277" i="7" s="1"/>
  <c r="G277" i="7"/>
  <c r="E277" i="7"/>
  <c r="F278" i="7" s="1"/>
  <c r="D460" i="7"/>
  <c r="I276" i="7" l="1"/>
  <c r="J277" i="7" s="1"/>
  <c r="G276" i="7"/>
  <c r="L277" i="7"/>
  <c r="M277" i="7" s="1"/>
  <c r="L278" i="7" s="1"/>
  <c r="M278" i="7" s="1"/>
  <c r="I277" i="7"/>
  <c r="J278" i="7" s="1"/>
  <c r="E279" i="7"/>
  <c r="D461" i="7"/>
  <c r="K279" i="7" l="1"/>
  <c r="H277" i="7"/>
  <c r="I278" i="7" s="1"/>
  <c r="F277" i="7"/>
  <c r="K278" i="7"/>
  <c r="L279" i="7" s="1"/>
  <c r="M279" i="7" s="1"/>
  <c r="H278" i="7"/>
  <c r="D462" i="7"/>
  <c r="I279" i="7" l="1"/>
  <c r="J280" i="7" s="1"/>
  <c r="G279" i="7"/>
  <c r="E278" i="7"/>
  <c r="G278" i="7"/>
  <c r="H279" i="7" s="1"/>
  <c r="J279" i="7"/>
  <c r="K280" i="7" s="1"/>
  <c r="L280" i="7"/>
  <c r="M280" i="7" s="1"/>
  <c r="D463" i="7"/>
  <c r="L281" i="7" l="1"/>
  <c r="M281" i="7" s="1"/>
  <c r="I280" i="7"/>
  <c r="J281" i="7" s="1"/>
  <c r="K282" i="7" s="1"/>
  <c r="F279" i="7"/>
  <c r="H280" i="7"/>
  <c r="I281" i="7" s="1"/>
  <c r="F280" i="7"/>
  <c r="K281" i="7"/>
  <c r="L282" i="7" s="1"/>
  <c r="M282" i="7" s="1"/>
  <c r="D464" i="7"/>
  <c r="G281" i="7" l="1"/>
  <c r="H282" i="7" s="1"/>
  <c r="E281" i="7"/>
  <c r="F282" i="7" s="1"/>
  <c r="J282" i="7"/>
  <c r="K283" i="7" s="1"/>
  <c r="G280" i="7"/>
  <c r="H281" i="7" s="1"/>
  <c r="I282" i="7" s="1"/>
  <c r="J283" i="7" s="1"/>
  <c r="E280" i="7"/>
  <c r="F281" i="7" s="1"/>
  <c r="L283" i="7"/>
  <c r="M283" i="7" s="1"/>
  <c r="D465" i="7"/>
  <c r="G282" i="7" l="1"/>
  <c r="H283" i="7" s="1"/>
  <c r="I284" i="7" s="1"/>
  <c r="J285" i="7" s="1"/>
  <c r="E282" i="7"/>
  <c r="K284" i="7"/>
  <c r="L284" i="7"/>
  <c r="M284" i="7" s="1"/>
  <c r="E283" i="7"/>
  <c r="F284" i="7" s="1"/>
  <c r="G283" i="7"/>
  <c r="H284" i="7" s="1"/>
  <c r="I283" i="7"/>
  <c r="J284" i="7" s="1"/>
  <c r="K285" i="7" s="1"/>
  <c r="E285" i="7"/>
  <c r="G285" i="7"/>
  <c r="D466" i="7"/>
  <c r="L285" i="7" l="1"/>
  <c r="M285" i="7" s="1"/>
  <c r="L286" i="7" s="1"/>
  <c r="M286" i="7" s="1"/>
  <c r="F283" i="7"/>
  <c r="I285" i="7"/>
  <c r="J286" i="7" s="1"/>
  <c r="K286" i="7"/>
  <c r="F286" i="7"/>
  <c r="D467" i="7"/>
  <c r="L287" i="7" l="1"/>
  <c r="M287" i="7" s="1"/>
  <c r="K287" i="7"/>
  <c r="L288" i="7" s="1"/>
  <c r="M288" i="7" s="1"/>
  <c r="G284" i="7"/>
  <c r="H285" i="7" s="1"/>
  <c r="I286" i="7" s="1"/>
  <c r="J287" i="7" s="1"/>
  <c r="K288" i="7" s="1"/>
  <c r="L289" i="7" s="1"/>
  <c r="M289" i="7" s="1"/>
  <c r="E284" i="7"/>
  <c r="F285" i="7" s="1"/>
  <c r="H286" i="7"/>
  <c r="I287" i="7" s="1"/>
  <c r="J288" i="7" s="1"/>
  <c r="K289" i="7" s="1"/>
  <c r="L290" i="7" s="1"/>
  <c r="M290" i="7" s="1"/>
  <c r="G287" i="7"/>
  <c r="H288" i="7" s="1"/>
  <c r="I289" i="7" s="1"/>
  <c r="J290" i="7" s="1"/>
  <c r="K291" i="7" s="1"/>
  <c r="E287" i="7"/>
  <c r="F288" i="7" s="1"/>
  <c r="D468" i="7"/>
  <c r="G286" i="7" l="1"/>
  <c r="H287" i="7" s="1"/>
  <c r="I288" i="7" s="1"/>
  <c r="J289" i="7" s="1"/>
  <c r="K290" i="7" s="1"/>
  <c r="L291" i="7" s="1"/>
  <c r="M291" i="7" s="1"/>
  <c r="L292" i="7" s="1"/>
  <c r="M292" i="7" s="1"/>
  <c r="E286" i="7"/>
  <c r="F287" i="7" s="1"/>
  <c r="G289" i="7"/>
  <c r="H290" i="7" s="1"/>
  <c r="I291" i="7" s="1"/>
  <c r="J292" i="7" s="1"/>
  <c r="E289" i="7"/>
  <c r="F290" i="7" s="1"/>
  <c r="D469" i="7"/>
  <c r="G288" i="7" l="1"/>
  <c r="H289" i="7" s="1"/>
  <c r="I290" i="7" s="1"/>
  <c r="J291" i="7" s="1"/>
  <c r="K292" i="7" s="1"/>
  <c r="E288" i="7"/>
  <c r="F289" i="7" s="1"/>
  <c r="K293" i="7"/>
  <c r="L293" i="7"/>
  <c r="G291" i="7"/>
  <c r="H292" i="7" s="1"/>
  <c r="I293" i="7" s="1"/>
  <c r="J294" i="7" s="1"/>
  <c r="E291" i="7"/>
  <c r="F292" i="7" s="1"/>
  <c r="D470" i="7"/>
  <c r="M293" i="7" l="1"/>
  <c r="L294" i="7"/>
  <c r="M294" i="7" s="1"/>
  <c r="E290" i="7"/>
  <c r="G290" i="7"/>
  <c r="H291" i="7" s="1"/>
  <c r="I292" i="7" s="1"/>
  <c r="J293" i="7" s="1"/>
  <c r="K294" i="7" s="1"/>
  <c r="L295" i="7" s="1"/>
  <c r="M295" i="7" s="1"/>
  <c r="E293" i="7"/>
  <c r="G293" i="7"/>
  <c r="H294" i="7" s="1"/>
  <c r="I295" i="7" s="1"/>
  <c r="D471" i="7"/>
  <c r="F291" i="7" l="1"/>
  <c r="K295" i="7"/>
  <c r="L296" i="7" s="1"/>
  <c r="M296" i="7" s="1"/>
  <c r="F294" i="7"/>
  <c r="D472" i="7"/>
  <c r="E292" i="7" l="1"/>
  <c r="G292" i="7"/>
  <c r="H293" i="7" s="1"/>
  <c r="I294" i="7" s="1"/>
  <c r="J295" i="7" s="1"/>
  <c r="K296" i="7" s="1"/>
  <c r="L297" i="7" s="1"/>
  <c r="M297" i="7" s="1"/>
  <c r="J296" i="7"/>
  <c r="K297" i="7" s="1"/>
  <c r="L298" i="7" s="1"/>
  <c r="M298" i="7" s="1"/>
  <c r="G295" i="7"/>
  <c r="H296" i="7" s="1"/>
  <c r="I297" i="7" s="1"/>
  <c r="J298" i="7" s="1"/>
  <c r="E295" i="7"/>
  <c r="F296" i="7" s="1"/>
  <c r="D473" i="7"/>
  <c r="F293" i="7" l="1"/>
  <c r="E297" i="7"/>
  <c r="G297" i="7"/>
  <c r="H298" i="7" s="1"/>
  <c r="I299" i="7" s="1"/>
  <c r="K299" i="7"/>
  <c r="D474" i="7"/>
  <c r="E294" i="7" l="1"/>
  <c r="G294" i="7"/>
  <c r="H295" i="7" s="1"/>
  <c r="I296" i="7" s="1"/>
  <c r="J297" i="7" s="1"/>
  <c r="K298" i="7" s="1"/>
  <c r="L299" i="7" s="1"/>
  <c r="M299" i="7" s="1"/>
  <c r="L300" i="7" s="1"/>
  <c r="M300" i="7" s="1"/>
  <c r="J300" i="7"/>
  <c r="F298" i="7"/>
  <c r="D475" i="7"/>
  <c r="F295" i="7" l="1"/>
  <c r="G299" i="7"/>
  <c r="H300" i="7" s="1"/>
  <c r="I301" i="7" s="1"/>
  <c r="E299" i="7"/>
  <c r="F300" i="7" s="1"/>
  <c r="K301" i="7"/>
  <c r="D476" i="7"/>
  <c r="G296" i="7" l="1"/>
  <c r="H297" i="7" s="1"/>
  <c r="I298" i="7" s="1"/>
  <c r="J299" i="7" s="1"/>
  <c r="K300" i="7" s="1"/>
  <c r="L301" i="7" s="1"/>
  <c r="M301" i="7" s="1"/>
  <c r="L302" i="7" s="1"/>
  <c r="M302" i="7" s="1"/>
  <c r="E296" i="7"/>
  <c r="F297" i="7" s="1"/>
  <c r="G301" i="7"/>
  <c r="H302" i="7" s="1"/>
  <c r="E301" i="7"/>
  <c r="F302" i="7" s="1"/>
  <c r="J302" i="7"/>
  <c r="D477" i="7"/>
  <c r="E298" i="7" l="1"/>
  <c r="G298" i="7"/>
  <c r="H299" i="7" s="1"/>
  <c r="I300" i="7" s="1"/>
  <c r="J301" i="7" s="1"/>
  <c r="K302" i="7" s="1"/>
  <c r="L303" i="7" s="1"/>
  <c r="M303" i="7" s="1"/>
  <c r="K303" i="7"/>
  <c r="L304" i="7" s="1"/>
  <c r="M304" i="7" s="1"/>
  <c r="G303" i="7"/>
  <c r="E303" i="7"/>
  <c r="F304" i="7" s="1"/>
  <c r="I303" i="7"/>
  <c r="J304" i="7" s="1"/>
  <c r="D478" i="7"/>
  <c r="F299" i="7" l="1"/>
  <c r="E305" i="7"/>
  <c r="H304" i="7"/>
  <c r="I305" i="7" s="1"/>
  <c r="D479" i="7"/>
  <c r="G300" i="7" l="1"/>
  <c r="H301" i="7" s="1"/>
  <c r="I302" i="7" s="1"/>
  <c r="J303" i="7" s="1"/>
  <c r="K304" i="7" s="1"/>
  <c r="E300" i="7"/>
  <c r="F301" i="7" s="1"/>
  <c r="K305" i="7"/>
  <c r="L305" i="7"/>
  <c r="M305" i="7" s="1"/>
  <c r="J306" i="7"/>
  <c r="G305" i="7"/>
  <c r="H306" i="7" s="1"/>
  <c r="I307" i="7" s="1"/>
  <c r="F306" i="7"/>
  <c r="D480" i="7"/>
  <c r="L306" i="7" l="1"/>
  <c r="M306" i="7" s="1"/>
  <c r="E302" i="7"/>
  <c r="G302" i="7"/>
  <c r="H303" i="7" s="1"/>
  <c r="I304" i="7" s="1"/>
  <c r="J305" i="7" s="1"/>
  <c r="K306" i="7" s="1"/>
  <c r="L307" i="7" s="1"/>
  <c r="M307" i="7" s="1"/>
  <c r="G307" i="7"/>
  <c r="H308" i="7" s="1"/>
  <c r="E307" i="7"/>
  <c r="F308" i="7" s="1"/>
  <c r="D481" i="7"/>
  <c r="F303" i="7" l="1"/>
  <c r="K307" i="7"/>
  <c r="G309" i="7"/>
  <c r="E309" i="7"/>
  <c r="F310" i="7" s="1"/>
  <c r="D482" i="7"/>
  <c r="L308" i="7" l="1"/>
  <c r="M308" i="7" s="1"/>
  <c r="J308" i="7"/>
  <c r="G304" i="7"/>
  <c r="H305" i="7" s="1"/>
  <c r="I306" i="7" s="1"/>
  <c r="J307" i="7" s="1"/>
  <c r="K308" i="7" s="1"/>
  <c r="L309" i="7" s="1"/>
  <c r="M309" i="7" s="1"/>
  <c r="E304" i="7"/>
  <c r="F305" i="7" s="1"/>
  <c r="E311" i="7"/>
  <c r="D483" i="7"/>
  <c r="G306" i="7" l="1"/>
  <c r="H307" i="7" s="1"/>
  <c r="I308" i="7" s="1"/>
  <c r="J309" i="7" s="1"/>
  <c r="K310" i="7" s="1"/>
  <c r="E306" i="7"/>
  <c r="F307" i="7" s="1"/>
  <c r="I309" i="7"/>
  <c r="K309" i="7"/>
  <c r="L310" i="7" s="1"/>
  <c r="M310" i="7" s="1"/>
  <c r="D484" i="7"/>
  <c r="J310" i="7" l="1"/>
  <c r="K311" i="7" s="1"/>
  <c r="L312" i="7" s="1"/>
  <c r="M312" i="7" s="1"/>
  <c r="H310" i="7"/>
  <c r="G308" i="7"/>
  <c r="H309" i="7" s="1"/>
  <c r="I310" i="7" s="1"/>
  <c r="J311" i="7" s="1"/>
  <c r="E308" i="7"/>
  <c r="F309" i="7" s="1"/>
  <c r="L311" i="7"/>
  <c r="M311" i="7" s="1"/>
  <c r="D485" i="7"/>
  <c r="G310" i="7" l="1"/>
  <c r="H311" i="7" s="1"/>
  <c r="I312" i="7" s="1"/>
  <c r="E310" i="7"/>
  <c r="F311" i="7" s="1"/>
  <c r="K312" i="7"/>
  <c r="L313" i="7" s="1"/>
  <c r="M313" i="7" s="1"/>
  <c r="G311" i="7"/>
  <c r="I311" i="7"/>
  <c r="J312" i="7" s="1"/>
  <c r="K313" i="7" s="1"/>
  <c r="L314" i="7" s="1"/>
  <c r="M314" i="7" s="1"/>
  <c r="D486" i="7"/>
  <c r="F312" i="7" l="1"/>
  <c r="H312" i="7"/>
  <c r="I313" i="7" s="1"/>
  <c r="J314" i="7" s="1"/>
  <c r="K315" i="7" s="1"/>
  <c r="E312" i="7"/>
  <c r="G312" i="7"/>
  <c r="H313" i="7" s="1"/>
  <c r="J313" i="7"/>
  <c r="K314" i="7" s="1"/>
  <c r="L315" i="7" s="1"/>
  <c r="M315" i="7" s="1"/>
  <c r="D487" i="7"/>
  <c r="I314" i="7" l="1"/>
  <c r="J315" i="7" s="1"/>
  <c r="K316" i="7" s="1"/>
  <c r="F313" i="7"/>
  <c r="L316" i="7"/>
  <c r="M316" i="7" s="1"/>
  <c r="E313" i="7"/>
  <c r="G313" i="7"/>
  <c r="H314" i="7" s="1"/>
  <c r="I315" i="7" s="1"/>
  <c r="J316" i="7" s="1"/>
  <c r="K317" i="7" s="1"/>
  <c r="D488" i="7"/>
  <c r="F314" i="7" l="1"/>
  <c r="G314" i="7"/>
  <c r="H315" i="7" s="1"/>
  <c r="I316" i="7" s="1"/>
  <c r="J317" i="7" s="1"/>
  <c r="E314" i="7"/>
  <c r="F315" i="7" s="1"/>
  <c r="L317" i="7"/>
  <c r="M317" i="7" s="1"/>
  <c r="L318" i="7" s="1"/>
  <c r="M318" i="7" s="1"/>
  <c r="D489" i="7"/>
  <c r="E316" i="7" l="1"/>
  <c r="G316" i="7"/>
  <c r="H317" i="7" s="1"/>
  <c r="I318" i="7" s="1"/>
  <c r="K318" i="7"/>
  <c r="L319" i="7" s="1"/>
  <c r="M319" i="7" s="1"/>
  <c r="E315" i="7"/>
  <c r="G315" i="7"/>
  <c r="H316" i="7" s="1"/>
  <c r="I317" i="7" s="1"/>
  <c r="J318" i="7" s="1"/>
  <c r="K319" i="7" s="1"/>
  <c r="L320" i="7" s="1"/>
  <c r="M320" i="7" s="1"/>
  <c r="D490" i="7"/>
  <c r="F316" i="7" l="1"/>
  <c r="J319" i="7"/>
  <c r="K320" i="7" s="1"/>
  <c r="L321" i="7" s="1"/>
  <c r="M321" i="7" s="1"/>
  <c r="F317" i="7"/>
  <c r="D491" i="7"/>
  <c r="G318" i="7" l="1"/>
  <c r="H319" i="7" s="1"/>
  <c r="I320" i="7" s="1"/>
  <c r="J321" i="7" s="1"/>
  <c r="K322" i="7" s="1"/>
  <c r="E318" i="7"/>
  <c r="F319" i="7" s="1"/>
  <c r="E317" i="7"/>
  <c r="G317" i="7"/>
  <c r="H318" i="7" s="1"/>
  <c r="I319" i="7" s="1"/>
  <c r="J320" i="7" s="1"/>
  <c r="K321" i="7" s="1"/>
  <c r="L322" i="7" s="1"/>
  <c r="M322" i="7" s="1"/>
  <c r="D492" i="7"/>
  <c r="F318" i="7" l="1"/>
  <c r="G320" i="7"/>
  <c r="H321" i="7" s="1"/>
  <c r="I322" i="7" s="1"/>
  <c r="J323" i="7" s="1"/>
  <c r="E320" i="7"/>
  <c r="F321" i="7" s="1"/>
  <c r="L323" i="7"/>
  <c r="M323" i="7" s="1"/>
  <c r="K324" i="7"/>
  <c r="D493" i="7"/>
  <c r="G322" i="7" l="1"/>
  <c r="H323" i="7" s="1"/>
  <c r="I324" i="7" s="1"/>
  <c r="J325" i="7" s="1"/>
  <c r="E322" i="7"/>
  <c r="F323" i="7" s="1"/>
  <c r="E319" i="7"/>
  <c r="G319" i="7"/>
  <c r="H320" i="7" s="1"/>
  <c r="I321" i="7" s="1"/>
  <c r="J322" i="7" s="1"/>
  <c r="K323" i="7" s="1"/>
  <c r="L324" i="7" s="1"/>
  <c r="M324" i="7" s="1"/>
  <c r="L325" i="7" s="1"/>
  <c r="M325" i="7" s="1"/>
  <c r="D494" i="7"/>
  <c r="F320" i="7" l="1"/>
  <c r="E324" i="7"/>
  <c r="G324" i="7"/>
  <c r="H325" i="7" s="1"/>
  <c r="I326" i="7" s="1"/>
  <c r="K326" i="7"/>
  <c r="D495" i="7"/>
  <c r="J327" i="7" l="1"/>
  <c r="F325" i="7"/>
  <c r="G321" i="7"/>
  <c r="H322" i="7" s="1"/>
  <c r="I323" i="7" s="1"/>
  <c r="J324" i="7" s="1"/>
  <c r="K325" i="7" s="1"/>
  <c r="L326" i="7" s="1"/>
  <c r="M326" i="7" s="1"/>
  <c r="L327" i="7" s="1"/>
  <c r="M327" i="7" s="1"/>
  <c r="E321" i="7"/>
  <c r="F322" i="7" s="1"/>
  <c r="D496" i="7"/>
  <c r="G323" i="7" l="1"/>
  <c r="H324" i="7" s="1"/>
  <c r="I325" i="7" s="1"/>
  <c r="J326" i="7" s="1"/>
  <c r="K327" i="7" s="1"/>
  <c r="L328" i="7" s="1"/>
  <c r="M328" i="7" s="1"/>
  <c r="E323" i="7"/>
  <c r="F324" i="7" s="1"/>
  <c r="G326" i="7"/>
  <c r="H327" i="7" s="1"/>
  <c r="I328" i="7" s="1"/>
  <c r="E326" i="7"/>
  <c r="F327" i="7" s="1"/>
  <c r="K328" i="7"/>
  <c r="L329" i="7" s="1"/>
  <c r="M329" i="7" s="1"/>
  <c r="D497" i="7"/>
  <c r="E328" i="7" l="1"/>
  <c r="G328" i="7"/>
  <c r="H329" i="7" s="1"/>
  <c r="J329" i="7"/>
  <c r="K330" i="7" s="1"/>
  <c r="G325" i="7"/>
  <c r="H326" i="7" s="1"/>
  <c r="I327" i="7" s="1"/>
  <c r="J328" i="7" s="1"/>
  <c r="K329" i="7" s="1"/>
  <c r="L330" i="7" s="1"/>
  <c r="M330" i="7" s="1"/>
  <c r="E325" i="7"/>
  <c r="F326" i="7" s="1"/>
  <c r="D498" i="7"/>
  <c r="E327" i="7" l="1"/>
  <c r="G327" i="7"/>
  <c r="H328" i="7" s="1"/>
  <c r="I329" i="7" s="1"/>
  <c r="J330" i="7" s="1"/>
  <c r="K331" i="7" s="1"/>
  <c r="L331" i="7"/>
  <c r="M331" i="7" s="1"/>
  <c r="I330" i="7"/>
  <c r="J331" i="7" s="1"/>
  <c r="K332" i="7" s="1"/>
  <c r="F329" i="7"/>
  <c r="D499" i="7"/>
  <c r="G330" i="7" l="1"/>
  <c r="H331" i="7" s="1"/>
  <c r="I332" i="7" s="1"/>
  <c r="J333" i="7" s="1"/>
  <c r="E330" i="7"/>
  <c r="F331" i="7" s="1"/>
  <c r="L332" i="7"/>
  <c r="M332" i="7" s="1"/>
  <c r="L333" i="7" s="1"/>
  <c r="M333" i="7" s="1"/>
  <c r="F328" i="7"/>
  <c r="D500" i="7"/>
  <c r="G329" i="7" l="1"/>
  <c r="H330" i="7" s="1"/>
  <c r="I331" i="7" s="1"/>
  <c r="J332" i="7" s="1"/>
  <c r="K333" i="7" s="1"/>
  <c r="L334" i="7" s="1"/>
  <c r="M334" i="7" s="1"/>
  <c r="E329" i="7"/>
  <c r="F330" i="7" s="1"/>
  <c r="E332" i="7"/>
  <c r="G332" i="7"/>
  <c r="H333" i="7" s="1"/>
  <c r="I334" i="7" s="1"/>
  <c r="K334" i="7"/>
  <c r="L335" i="7" s="1"/>
  <c r="M335" i="7" s="1"/>
  <c r="D501" i="7"/>
  <c r="J335" i="7" l="1"/>
  <c r="K336" i="7" s="1"/>
  <c r="F333" i="7"/>
  <c r="G331" i="7"/>
  <c r="H332" i="7" s="1"/>
  <c r="I333" i="7" s="1"/>
  <c r="J334" i="7" s="1"/>
  <c r="K335" i="7" s="1"/>
  <c r="L336" i="7" s="1"/>
  <c r="M336" i="7" s="1"/>
  <c r="E331" i="7"/>
  <c r="F332" i="7" s="1"/>
  <c r="D502" i="7"/>
  <c r="E333" i="7" l="1"/>
  <c r="G333" i="7"/>
  <c r="H334" i="7" s="1"/>
  <c r="I335" i="7" s="1"/>
  <c r="J336" i="7" s="1"/>
  <c r="K337" i="7" s="1"/>
  <c r="E334" i="7"/>
  <c r="G334" i="7"/>
  <c r="H335" i="7" s="1"/>
  <c r="I336" i="7" s="1"/>
  <c r="J337" i="7" s="1"/>
  <c r="L337" i="7"/>
  <c r="M337" i="7" s="1"/>
  <c r="D503" i="7"/>
  <c r="K338" i="7" l="1"/>
  <c r="F335" i="7"/>
  <c r="L338" i="7"/>
  <c r="M338" i="7" s="1"/>
  <c r="F334" i="7"/>
  <c r="D504" i="7"/>
  <c r="G335" i="7" l="1"/>
  <c r="H336" i="7" s="1"/>
  <c r="I337" i="7" s="1"/>
  <c r="J338" i="7" s="1"/>
  <c r="K339" i="7" s="1"/>
  <c r="E335" i="7"/>
  <c r="F336" i="7" s="1"/>
  <c r="G336" i="7"/>
  <c r="H337" i="7" s="1"/>
  <c r="I338" i="7" s="1"/>
  <c r="J339" i="7" s="1"/>
  <c r="E336" i="7"/>
  <c r="F337" i="7" s="1"/>
  <c r="L339" i="7"/>
  <c r="M339" i="7" s="1"/>
  <c r="D505" i="7"/>
  <c r="G338" i="7" l="1"/>
  <c r="H339" i="7" s="1"/>
  <c r="I340" i="7" s="1"/>
  <c r="E338" i="7"/>
  <c r="F339" i="7" s="1"/>
  <c r="K340" i="7"/>
  <c r="E337" i="7"/>
  <c r="G337" i="7"/>
  <c r="H338" i="7" s="1"/>
  <c r="I339" i="7" s="1"/>
  <c r="J340" i="7" s="1"/>
  <c r="L340" i="7"/>
  <c r="M340" i="7" s="1"/>
  <c r="D506" i="7"/>
  <c r="K341" i="7" l="1"/>
  <c r="F338" i="7"/>
  <c r="L341" i="7"/>
  <c r="M341" i="7" s="1"/>
  <c r="G340" i="7"/>
  <c r="H341" i="7" s="1"/>
  <c r="E340" i="7"/>
  <c r="F341" i="7" s="1"/>
  <c r="J341" i="7"/>
  <c r="K342" i="7" s="1"/>
  <c r="D507" i="7"/>
  <c r="E342" i="7" l="1"/>
  <c r="G342" i="7"/>
  <c r="I342" i="7"/>
  <c r="J343" i="7" s="1"/>
  <c r="G339" i="7"/>
  <c r="H340" i="7" s="1"/>
  <c r="I341" i="7" s="1"/>
  <c r="J342" i="7" s="1"/>
  <c r="E339" i="7"/>
  <c r="F340" i="7" s="1"/>
  <c r="L342" i="7"/>
  <c r="M342" i="7" s="1"/>
  <c r="L343" i="7" s="1"/>
  <c r="M343" i="7" s="1"/>
  <c r="D508" i="7"/>
  <c r="G341" i="7" l="1"/>
  <c r="H342" i="7" s="1"/>
  <c r="I343" i="7" s="1"/>
  <c r="E341" i="7"/>
  <c r="F342" i="7" s="1"/>
  <c r="K343" i="7"/>
  <c r="L344" i="7" s="1"/>
  <c r="M344" i="7" s="1"/>
  <c r="K344" i="7"/>
  <c r="L345" i="7" s="1"/>
  <c r="M345" i="7" s="1"/>
  <c r="H343" i="7"/>
  <c r="I344" i="7" s="1"/>
  <c r="J345" i="7" s="1"/>
  <c r="K346" i="7" s="1"/>
  <c r="F343" i="7"/>
  <c r="D509" i="7"/>
  <c r="G344" i="7" l="1"/>
  <c r="H345" i="7" s="1"/>
  <c r="I346" i="7" s="1"/>
  <c r="J347" i="7" s="1"/>
  <c r="E344" i="7"/>
  <c r="F345" i="7" s="1"/>
  <c r="G343" i="7"/>
  <c r="H344" i="7" s="1"/>
  <c r="E343" i="7"/>
  <c r="F344" i="7" s="1"/>
  <c r="J344" i="7"/>
  <c r="K345" i="7" s="1"/>
  <c r="L346" i="7" s="1"/>
  <c r="M346" i="7" s="1"/>
  <c r="L347" i="7" s="1"/>
  <c r="M347" i="7" s="1"/>
  <c r="D510" i="7"/>
  <c r="G345" i="7" l="1"/>
  <c r="E345" i="7"/>
  <c r="F346" i="7" s="1"/>
  <c r="I345" i="7"/>
  <c r="J346" i="7" s="1"/>
  <c r="K347" i="7" s="1"/>
  <c r="L348" i="7" s="1"/>
  <c r="M348" i="7" s="1"/>
  <c r="G346" i="7"/>
  <c r="H347" i="7" s="1"/>
  <c r="I348" i="7" s="1"/>
  <c r="E346" i="7"/>
  <c r="F347" i="7" s="1"/>
  <c r="K348" i="7"/>
  <c r="L349" i="7" s="1"/>
  <c r="M349" i="7" s="1"/>
  <c r="D511" i="7"/>
  <c r="G348" i="7" l="1"/>
  <c r="H349" i="7" s="1"/>
  <c r="E348" i="7"/>
  <c r="F349" i="7" s="1"/>
  <c r="J349" i="7"/>
  <c r="K350" i="7" s="1"/>
  <c r="E347" i="7"/>
  <c r="H346" i="7"/>
  <c r="I347" i="7" s="1"/>
  <c r="J348" i="7" s="1"/>
  <c r="K349" i="7" s="1"/>
  <c r="L350" i="7" s="1"/>
  <c r="M350" i="7" s="1"/>
  <c r="L351" i="7"/>
  <c r="M351" i="7" s="1"/>
  <c r="D512" i="7"/>
  <c r="G347" i="7" l="1"/>
  <c r="H348" i="7" s="1"/>
  <c r="I349" i="7" s="1"/>
  <c r="J350" i="7" s="1"/>
  <c r="K351" i="7" s="1"/>
  <c r="L352" i="7" s="1"/>
  <c r="M352" i="7" s="1"/>
  <c r="F348" i="7"/>
  <c r="G350" i="7"/>
  <c r="E350" i="7"/>
  <c r="F351" i="7" s="1"/>
  <c r="E352" i="7" s="1"/>
  <c r="I350" i="7"/>
  <c r="J351" i="7" s="1"/>
  <c r="K352" i="7" s="1"/>
  <c r="L353" i="7" s="1"/>
  <c r="M353" i="7" s="1"/>
  <c r="D513" i="7"/>
  <c r="H351" i="7" l="1"/>
  <c r="E349" i="7"/>
  <c r="G349" i="7"/>
  <c r="H350" i="7" s="1"/>
  <c r="I351" i="7" s="1"/>
  <c r="J352" i="7" s="1"/>
  <c r="K353" i="7" s="1"/>
  <c r="L354" i="7" s="1"/>
  <c r="M354" i="7" s="1"/>
  <c r="D514" i="7"/>
  <c r="F350" i="7" l="1"/>
  <c r="I352" i="7"/>
  <c r="J353" i="7" s="1"/>
  <c r="K354" i="7" s="1"/>
  <c r="L355" i="7" s="1"/>
  <c r="M355" i="7" s="1"/>
  <c r="G352" i="7"/>
  <c r="D515" i="7"/>
  <c r="H353" i="7" l="1"/>
  <c r="I354" i="7" s="1"/>
  <c r="J355" i="7" s="1"/>
  <c r="K356" i="7" s="1"/>
  <c r="F353" i="7"/>
  <c r="G351" i="7"/>
  <c r="H352" i="7" s="1"/>
  <c r="I353" i="7" s="1"/>
  <c r="J354" i="7" s="1"/>
  <c r="K355" i="7" s="1"/>
  <c r="L356" i="7" s="1"/>
  <c r="M356" i="7" s="1"/>
  <c r="E351" i="7"/>
  <c r="F352" i="7" s="1"/>
  <c r="D516" i="7"/>
  <c r="G353" i="7" l="1"/>
  <c r="H354" i="7" s="1"/>
  <c r="I355" i="7" s="1"/>
  <c r="J356" i="7" s="1"/>
  <c r="K357" i="7" s="1"/>
  <c r="E353" i="7"/>
  <c r="F354" i="7" s="1"/>
  <c r="G354" i="7"/>
  <c r="H355" i="7" s="1"/>
  <c r="I356" i="7" s="1"/>
  <c r="J357" i="7" s="1"/>
  <c r="E354" i="7"/>
  <c r="F355" i="7" s="1"/>
  <c r="L357" i="7"/>
  <c r="M357" i="7" s="1"/>
  <c r="D517" i="7"/>
  <c r="G356" i="7" l="1"/>
  <c r="H357" i="7" s="1"/>
  <c r="I358" i="7" s="1"/>
  <c r="E356" i="7"/>
  <c r="F357" i="7" s="1"/>
  <c r="K358" i="7"/>
  <c r="G355" i="7"/>
  <c r="H356" i="7" s="1"/>
  <c r="I357" i="7" s="1"/>
  <c r="J358" i="7" s="1"/>
  <c r="E355" i="7"/>
  <c r="F356" i="7" s="1"/>
  <c r="L358" i="7"/>
  <c r="M358" i="7" s="1"/>
  <c r="D518" i="7"/>
  <c r="E357" i="7" l="1"/>
  <c r="G357" i="7"/>
  <c r="H358" i="7" s="1"/>
  <c r="I359" i="7" s="1"/>
  <c r="K359" i="7"/>
  <c r="L359" i="7"/>
  <c r="M359" i="7" s="1"/>
  <c r="G358" i="7"/>
  <c r="H359" i="7" s="1"/>
  <c r="E358" i="7"/>
  <c r="F359" i="7" s="1"/>
  <c r="J359" i="7"/>
  <c r="K360" i="7" s="1"/>
  <c r="D519" i="7"/>
  <c r="G360" i="7" l="1"/>
  <c r="E360" i="7"/>
  <c r="F361" i="7" s="1"/>
  <c r="I360" i="7"/>
  <c r="J361" i="7" s="1"/>
  <c r="L360" i="7"/>
  <c r="M360" i="7" s="1"/>
  <c r="L361" i="7" s="1"/>
  <c r="M361" i="7" s="1"/>
  <c r="J360" i="7"/>
  <c r="K361" i="7" s="1"/>
  <c r="F358" i="7"/>
  <c r="D520" i="7"/>
  <c r="E359" i="7" l="1"/>
  <c r="G359" i="7"/>
  <c r="H360" i="7" s="1"/>
  <c r="I361" i="7" s="1"/>
  <c r="J362" i="7" s="1"/>
  <c r="L362" i="7"/>
  <c r="M362" i="7" s="1"/>
  <c r="K362" i="7"/>
  <c r="L363" i="7" s="1"/>
  <c r="M363" i="7" s="1"/>
  <c r="E362" i="7"/>
  <c r="H361" i="7"/>
  <c r="I362" i="7" s="1"/>
  <c r="J363" i="7" s="1"/>
  <c r="K364" i="7" s="1"/>
  <c r="D521" i="7"/>
  <c r="G362" i="7" l="1"/>
  <c r="H363" i="7" s="1"/>
  <c r="I364" i="7" s="1"/>
  <c r="J365" i="7" s="1"/>
  <c r="K363" i="7"/>
  <c r="L364" i="7" s="1"/>
  <c r="M364" i="7" s="1"/>
  <c r="L365" i="7" s="1"/>
  <c r="M365" i="7" s="1"/>
  <c r="F360" i="7"/>
  <c r="D522" i="7"/>
  <c r="G361" i="7" l="1"/>
  <c r="H362" i="7" s="1"/>
  <c r="I363" i="7" s="1"/>
  <c r="J364" i="7" s="1"/>
  <c r="K365" i="7" s="1"/>
  <c r="L366" i="7" s="1"/>
  <c r="M366" i="7" s="1"/>
  <c r="E361" i="7"/>
  <c r="F362" i="7" s="1"/>
  <c r="K366" i="7"/>
  <c r="L367" i="7" s="1"/>
  <c r="M367" i="7" s="1"/>
  <c r="F363" i="7"/>
  <c r="D523" i="7"/>
  <c r="E364" i="7" l="1"/>
  <c r="G364" i="7"/>
  <c r="H365" i="7" s="1"/>
  <c r="I366" i="7" s="1"/>
  <c r="J367" i="7" s="1"/>
  <c r="K368" i="7" s="1"/>
  <c r="G363" i="7"/>
  <c r="H364" i="7" s="1"/>
  <c r="I365" i="7" s="1"/>
  <c r="J366" i="7" s="1"/>
  <c r="K367" i="7" s="1"/>
  <c r="L368" i="7" s="1"/>
  <c r="M368" i="7" s="1"/>
  <c r="E363" i="7"/>
  <c r="F364" i="7" s="1"/>
  <c r="D524" i="7"/>
  <c r="G365" i="7" l="1"/>
  <c r="H366" i="7" s="1"/>
  <c r="I367" i="7" s="1"/>
  <c r="J368" i="7" s="1"/>
  <c r="K369" i="7" s="1"/>
  <c r="E365" i="7"/>
  <c r="F366" i="7" s="1"/>
  <c r="L369" i="7"/>
  <c r="M369" i="7" s="1"/>
  <c r="F365" i="7"/>
  <c r="D525" i="7"/>
  <c r="G366" i="7" l="1"/>
  <c r="H367" i="7" s="1"/>
  <c r="I368" i="7" s="1"/>
  <c r="J369" i="7" s="1"/>
  <c r="K370" i="7" s="1"/>
  <c r="E366" i="7"/>
  <c r="F367" i="7" s="1"/>
  <c r="G367" i="7"/>
  <c r="H368" i="7" s="1"/>
  <c r="I369" i="7" s="1"/>
  <c r="J370" i="7" s="1"/>
  <c r="E367" i="7"/>
  <c r="F368" i="7" s="1"/>
  <c r="L370" i="7"/>
  <c r="M370" i="7" s="1"/>
  <c r="D526" i="7"/>
  <c r="G369" i="7" l="1"/>
  <c r="H370" i="7" s="1"/>
  <c r="I371" i="7" s="1"/>
  <c r="E369" i="7"/>
  <c r="F370" i="7" s="1"/>
  <c r="K371" i="7"/>
  <c r="G368" i="7"/>
  <c r="H369" i="7" s="1"/>
  <c r="I370" i="7" s="1"/>
  <c r="J371" i="7" s="1"/>
  <c r="E368" i="7"/>
  <c r="F369" i="7" s="1"/>
  <c r="L371" i="7"/>
  <c r="M371" i="7" s="1"/>
  <c r="D527" i="7"/>
  <c r="G370" i="7" l="1"/>
  <c r="H371" i="7" s="1"/>
  <c r="I372" i="7" s="1"/>
  <c r="E370" i="7"/>
  <c r="F371" i="7" s="1"/>
  <c r="K372" i="7"/>
  <c r="L372" i="7"/>
  <c r="M372" i="7" s="1"/>
  <c r="E371" i="7"/>
  <c r="G371" i="7"/>
  <c r="H372" i="7" s="1"/>
  <c r="J372" i="7"/>
  <c r="K373" i="7" s="1"/>
  <c r="D528" i="7"/>
  <c r="I373" i="7" l="1"/>
  <c r="J374" i="7" s="1"/>
  <c r="F372" i="7"/>
  <c r="L373" i="7"/>
  <c r="M373" i="7" s="1"/>
  <c r="L374" i="7" s="1"/>
  <c r="M374" i="7" s="1"/>
  <c r="G372" i="7"/>
  <c r="H373" i="7" s="1"/>
  <c r="E372" i="7"/>
  <c r="F373" i="7" s="1"/>
  <c r="J373" i="7"/>
  <c r="K374" i="7" s="1"/>
  <c r="D529" i="7"/>
  <c r="L375" i="7" l="1"/>
  <c r="M375" i="7" s="1"/>
  <c r="G374" i="7"/>
  <c r="E374" i="7"/>
  <c r="F375" i="7" s="1"/>
  <c r="I374" i="7"/>
  <c r="J375" i="7" s="1"/>
  <c r="K376" i="7" s="1"/>
  <c r="G373" i="7"/>
  <c r="H374" i="7" s="1"/>
  <c r="I375" i="7" s="1"/>
  <c r="E373" i="7"/>
  <c r="F374" i="7" s="1"/>
  <c r="K375" i="7"/>
  <c r="L376" i="7" s="1"/>
  <c r="M376" i="7" s="1"/>
  <c r="D530" i="7"/>
  <c r="G375" i="7" l="1"/>
  <c r="H376" i="7" s="1"/>
  <c r="E375" i="7"/>
  <c r="F376" i="7" s="1"/>
  <c r="J376" i="7"/>
  <c r="K377" i="7" s="1"/>
  <c r="L377" i="7"/>
  <c r="M377" i="7" s="1"/>
  <c r="E376" i="7"/>
  <c r="H375" i="7"/>
  <c r="I376" i="7" s="1"/>
  <c r="J377" i="7" s="1"/>
  <c r="K378" i="7" s="1"/>
  <c r="D531" i="7"/>
  <c r="G376" i="7" l="1"/>
  <c r="H377" i="7" s="1"/>
  <c r="I378" i="7" s="1"/>
  <c r="J379" i="7" s="1"/>
  <c r="F377" i="7"/>
  <c r="L378" i="7"/>
  <c r="M378" i="7" s="1"/>
  <c r="L379" i="7" s="1"/>
  <c r="M379" i="7" s="1"/>
  <c r="G377" i="7"/>
  <c r="E377" i="7"/>
  <c r="F378" i="7" s="1"/>
  <c r="I377" i="7"/>
  <c r="J378" i="7" s="1"/>
  <c r="K379" i="7" s="1"/>
  <c r="D532" i="7"/>
  <c r="L380" i="7" l="1"/>
  <c r="M380" i="7" s="1"/>
  <c r="E379" i="7"/>
  <c r="H378" i="7"/>
  <c r="I379" i="7" s="1"/>
  <c r="J380" i="7" s="1"/>
  <c r="K381" i="7" s="1"/>
  <c r="G378" i="7"/>
  <c r="H379" i="7" s="1"/>
  <c r="I380" i="7" s="1"/>
  <c r="E378" i="7"/>
  <c r="F379" i="7" s="1"/>
  <c r="K380" i="7"/>
  <c r="L381" i="7" s="1"/>
  <c r="M381" i="7" s="1"/>
  <c r="D533" i="7"/>
  <c r="G380" i="7" l="1"/>
  <c r="H381" i="7" s="1"/>
  <c r="E380" i="7"/>
  <c r="F381" i="7" s="1"/>
  <c r="J381" i="7"/>
  <c r="K382" i="7" s="1"/>
  <c r="L382" i="7"/>
  <c r="M382" i="7" s="1"/>
  <c r="G379" i="7"/>
  <c r="H380" i="7" s="1"/>
  <c r="I381" i="7" s="1"/>
  <c r="J382" i="7" s="1"/>
  <c r="K383" i="7" s="1"/>
  <c r="D534" i="7"/>
  <c r="F380" i="7" l="1"/>
  <c r="L383" i="7"/>
  <c r="M383" i="7" s="1"/>
  <c r="L384" i="7" s="1"/>
  <c r="M384" i="7" s="1"/>
  <c r="G382" i="7"/>
  <c r="E382" i="7"/>
  <c r="F383" i="7" s="1"/>
  <c r="I382" i="7"/>
  <c r="J383" i="7" s="1"/>
  <c r="K384" i="7" s="1"/>
  <c r="D535" i="7"/>
  <c r="L385" i="7" l="1"/>
  <c r="M385" i="7" s="1"/>
  <c r="E384" i="7"/>
  <c r="H383" i="7"/>
  <c r="I384" i="7" s="1"/>
  <c r="J385" i="7" s="1"/>
  <c r="K386" i="7" s="1"/>
  <c r="G381" i="7"/>
  <c r="H382" i="7" s="1"/>
  <c r="I383" i="7" s="1"/>
  <c r="J384" i="7" s="1"/>
  <c r="K385" i="7" s="1"/>
  <c r="L386" i="7" s="1"/>
  <c r="M386" i="7" s="1"/>
  <c r="E381" i="7"/>
  <c r="F382" i="7" s="1"/>
  <c r="L387" i="7"/>
  <c r="M387" i="7" s="1"/>
  <c r="D536" i="7"/>
  <c r="E383" i="7" l="1"/>
  <c r="G383" i="7"/>
  <c r="H384" i="7" s="1"/>
  <c r="I385" i="7" s="1"/>
  <c r="J386" i="7" s="1"/>
  <c r="K387" i="7" s="1"/>
  <c r="L388" i="7" s="1"/>
  <c r="M388" i="7" s="1"/>
  <c r="G384" i="7"/>
  <c r="H385" i="7" s="1"/>
  <c r="I386" i="7" s="1"/>
  <c r="J387" i="7" s="1"/>
  <c r="K388" i="7" s="1"/>
  <c r="L389" i="7" s="1"/>
  <c r="M389" i="7" s="1"/>
  <c r="D537" i="7"/>
  <c r="F385" i="7" l="1"/>
  <c r="F384" i="7"/>
  <c r="D538" i="7"/>
  <c r="G385" i="7" l="1"/>
  <c r="H386" i="7" s="1"/>
  <c r="I387" i="7" s="1"/>
  <c r="J388" i="7" s="1"/>
  <c r="K389" i="7" s="1"/>
  <c r="L390" i="7" s="1"/>
  <c r="M390" i="7" s="1"/>
  <c r="E385" i="7"/>
  <c r="F386" i="7" s="1"/>
  <c r="G386" i="7"/>
  <c r="H387" i="7" s="1"/>
  <c r="I388" i="7" s="1"/>
  <c r="J389" i="7" s="1"/>
  <c r="K390" i="7" s="1"/>
  <c r="L391" i="7" s="1"/>
  <c r="M391" i="7" s="1"/>
  <c r="E386" i="7"/>
  <c r="F387" i="7" s="1"/>
  <c r="D539" i="7"/>
  <c r="E388" i="7" l="1"/>
  <c r="G388" i="7"/>
  <c r="H389" i="7" s="1"/>
  <c r="I390" i="7" s="1"/>
  <c r="J391" i="7" s="1"/>
  <c r="K392" i="7" s="1"/>
  <c r="G387" i="7"/>
  <c r="H388" i="7" s="1"/>
  <c r="I389" i="7" s="1"/>
  <c r="J390" i="7" s="1"/>
  <c r="K391" i="7" s="1"/>
  <c r="L392" i="7" s="1"/>
  <c r="M392" i="7" s="1"/>
  <c r="E387" i="7"/>
  <c r="F388" i="7" s="1"/>
  <c r="D540" i="7"/>
  <c r="G389" i="7" l="1"/>
  <c r="H390" i="7" s="1"/>
  <c r="I391" i="7" s="1"/>
  <c r="J392" i="7" s="1"/>
  <c r="K393" i="7" s="1"/>
  <c r="E389" i="7"/>
  <c r="F390" i="7" s="1"/>
  <c r="L393" i="7"/>
  <c r="M393" i="7" s="1"/>
  <c r="F389" i="7"/>
  <c r="D541" i="7"/>
  <c r="G390" i="7" l="1"/>
  <c r="H391" i="7" s="1"/>
  <c r="I392" i="7" s="1"/>
  <c r="J393" i="7" s="1"/>
  <c r="K394" i="7" s="1"/>
  <c r="E390" i="7"/>
  <c r="F391" i="7" s="1"/>
  <c r="G391" i="7"/>
  <c r="H392" i="7" s="1"/>
  <c r="I393" i="7" s="1"/>
  <c r="J394" i="7" s="1"/>
  <c r="E391" i="7"/>
  <c r="F392" i="7" s="1"/>
  <c r="L394" i="7"/>
  <c r="M394" i="7" s="1"/>
  <c r="D542" i="7"/>
  <c r="G393" i="7" l="1"/>
  <c r="H394" i="7" s="1"/>
  <c r="I395" i="7" s="1"/>
  <c r="E393" i="7"/>
  <c r="F394" i="7" s="1"/>
  <c r="K395" i="7"/>
  <c r="G392" i="7"/>
  <c r="H393" i="7" s="1"/>
  <c r="I394" i="7" s="1"/>
  <c r="J395" i="7" s="1"/>
  <c r="E392" i="7"/>
  <c r="F393" i="7" s="1"/>
  <c r="L395" i="7"/>
  <c r="M395" i="7" s="1"/>
  <c r="D543" i="7"/>
  <c r="G394" i="7" l="1"/>
  <c r="H395" i="7" s="1"/>
  <c r="I396" i="7" s="1"/>
  <c r="E394" i="7"/>
  <c r="F395" i="7" s="1"/>
  <c r="K396" i="7"/>
  <c r="L396" i="7"/>
  <c r="M396" i="7" s="1"/>
  <c r="E395" i="7"/>
  <c r="G395" i="7"/>
  <c r="H396" i="7" s="1"/>
  <c r="J396" i="7"/>
  <c r="K397" i="7" s="1"/>
  <c r="D544" i="7"/>
  <c r="I397" i="7" l="1"/>
  <c r="J398" i="7" s="1"/>
  <c r="F396" i="7"/>
  <c r="L397" i="7"/>
  <c r="M397" i="7" s="1"/>
  <c r="L398" i="7" s="1"/>
  <c r="M398" i="7" s="1"/>
  <c r="G396" i="7"/>
  <c r="H397" i="7" s="1"/>
  <c r="E396" i="7"/>
  <c r="F397" i="7" s="1"/>
  <c r="J397" i="7"/>
  <c r="K398" i="7" s="1"/>
  <c r="D545" i="7"/>
  <c r="L399" i="7" l="1"/>
  <c r="M399" i="7" s="1"/>
  <c r="G398" i="7"/>
  <c r="E398" i="7"/>
  <c r="F399" i="7" s="1"/>
  <c r="I398" i="7"/>
  <c r="J399" i="7" s="1"/>
  <c r="K400" i="7" s="1"/>
  <c r="E397" i="7"/>
  <c r="G397" i="7"/>
  <c r="H398" i="7" s="1"/>
  <c r="I399" i="7" s="1"/>
  <c r="J400" i="7" s="1"/>
  <c r="K401" i="7" s="1"/>
  <c r="K399" i="7"/>
  <c r="L400" i="7" s="1"/>
  <c r="M400" i="7" s="1"/>
  <c r="D546" i="7"/>
  <c r="F398" i="7" l="1"/>
  <c r="L401" i="7"/>
  <c r="M401" i="7" s="1"/>
  <c r="L402" i="7" s="1"/>
  <c r="M402" i="7" s="1"/>
  <c r="E400" i="7"/>
  <c r="H399" i="7"/>
  <c r="I400" i="7" s="1"/>
  <c r="J401" i="7" s="1"/>
  <c r="K402" i="7" s="1"/>
  <c r="D547" i="7"/>
  <c r="L403" i="7" l="1"/>
  <c r="M403" i="7" s="1"/>
  <c r="G400" i="7"/>
  <c r="H401" i="7" s="1"/>
  <c r="I402" i="7" s="1"/>
  <c r="J403" i="7" s="1"/>
  <c r="K404" i="7" s="1"/>
  <c r="F401" i="7"/>
  <c r="G399" i="7"/>
  <c r="H400" i="7" s="1"/>
  <c r="I401" i="7" s="1"/>
  <c r="J402" i="7" s="1"/>
  <c r="K403" i="7" s="1"/>
  <c r="L404" i="7" s="1"/>
  <c r="M404" i="7" s="1"/>
  <c r="E399" i="7"/>
  <c r="F400" i="7" s="1"/>
  <c r="D548" i="7"/>
  <c r="G401" i="7" l="1"/>
  <c r="H402" i="7" s="1"/>
  <c r="I403" i="7" s="1"/>
  <c r="J404" i="7" s="1"/>
  <c r="K405" i="7" s="1"/>
  <c r="E401" i="7"/>
  <c r="F402" i="7" s="1"/>
  <c r="G402" i="7"/>
  <c r="H403" i="7" s="1"/>
  <c r="I404" i="7" s="1"/>
  <c r="J405" i="7" s="1"/>
  <c r="E402" i="7"/>
  <c r="F403" i="7" s="1"/>
  <c r="L405" i="7"/>
  <c r="M405" i="7" s="1"/>
  <c r="D549" i="7"/>
  <c r="G404" i="7" l="1"/>
  <c r="H405" i="7" s="1"/>
  <c r="I406" i="7" s="1"/>
  <c r="E404" i="7"/>
  <c r="F405" i="7" s="1"/>
  <c r="K406" i="7"/>
  <c r="G403" i="7"/>
  <c r="H404" i="7" s="1"/>
  <c r="I405" i="7" s="1"/>
  <c r="J406" i="7" s="1"/>
  <c r="E403" i="7"/>
  <c r="F404" i="7" s="1"/>
  <c r="L406" i="7"/>
  <c r="M406" i="7" s="1"/>
  <c r="D550" i="7"/>
  <c r="G405" i="7" l="1"/>
  <c r="H406" i="7" s="1"/>
  <c r="I407" i="7" s="1"/>
  <c r="E405" i="7"/>
  <c r="F406" i="7" s="1"/>
  <c r="K407" i="7"/>
  <c r="L407" i="7"/>
  <c r="M407" i="7" s="1"/>
  <c r="G406" i="7"/>
  <c r="H407" i="7" s="1"/>
  <c r="E406" i="7"/>
  <c r="F407" i="7" s="1"/>
  <c r="J407" i="7"/>
  <c r="K408" i="7" s="1"/>
  <c r="D551" i="7"/>
  <c r="G408" i="7" l="1"/>
  <c r="E408" i="7"/>
  <c r="F409" i="7" s="1"/>
  <c r="I408" i="7"/>
  <c r="J409" i="7" s="1"/>
  <c r="L408" i="7"/>
  <c r="M408" i="7" s="1"/>
  <c r="L409" i="7" s="1"/>
  <c r="M409" i="7" s="1"/>
  <c r="E407" i="7"/>
  <c r="G407" i="7"/>
  <c r="H408" i="7" s="1"/>
  <c r="J408" i="7"/>
  <c r="K409" i="7" s="1"/>
  <c r="D552" i="7"/>
  <c r="L410" i="7" l="1"/>
  <c r="M410" i="7" s="1"/>
  <c r="I409" i="7"/>
  <c r="J410" i="7" s="1"/>
  <c r="K411" i="7" s="1"/>
  <c r="F408" i="7"/>
  <c r="K410" i="7"/>
  <c r="L411" i="7" s="1"/>
  <c r="M411" i="7" s="1"/>
  <c r="E410" i="7"/>
  <c r="H409" i="7"/>
  <c r="I410" i="7" s="1"/>
  <c r="J411" i="7" s="1"/>
  <c r="K412" i="7" s="1"/>
  <c r="D553" i="7"/>
  <c r="G410" i="7" l="1"/>
  <c r="H411" i="7" s="1"/>
  <c r="I412" i="7" s="1"/>
  <c r="J413" i="7" s="1"/>
  <c r="F411" i="7"/>
  <c r="E409" i="7"/>
  <c r="G409" i="7"/>
  <c r="H410" i="7" s="1"/>
  <c r="I411" i="7" s="1"/>
  <c r="J412" i="7" s="1"/>
  <c r="L412" i="7"/>
  <c r="M412" i="7" s="1"/>
  <c r="L413" i="7" s="1"/>
  <c r="M413" i="7" s="1"/>
  <c r="D554" i="7"/>
  <c r="K413" i="7" l="1"/>
  <c r="L414" i="7" s="1"/>
  <c r="M414" i="7" s="1"/>
  <c r="F410" i="7"/>
  <c r="E412" i="7"/>
  <c r="G412" i="7"/>
  <c r="H413" i="7" s="1"/>
  <c r="I414" i="7" s="1"/>
  <c r="K414" i="7"/>
  <c r="L415" i="7" s="1"/>
  <c r="M415" i="7" s="1"/>
  <c r="D555" i="7"/>
  <c r="J415" i="7" l="1"/>
  <c r="K416" i="7" s="1"/>
  <c r="F413" i="7"/>
  <c r="G411" i="7"/>
  <c r="H412" i="7" s="1"/>
  <c r="I413" i="7" s="1"/>
  <c r="J414" i="7" s="1"/>
  <c r="K415" i="7" s="1"/>
  <c r="L416" i="7" s="1"/>
  <c r="M416" i="7" s="1"/>
  <c r="E411" i="7"/>
  <c r="F412" i="7" s="1"/>
  <c r="D556" i="7"/>
  <c r="G413" i="7" l="1"/>
  <c r="H414" i="7" s="1"/>
  <c r="I415" i="7" s="1"/>
  <c r="J416" i="7" s="1"/>
  <c r="K417" i="7" s="1"/>
  <c r="E413" i="7"/>
  <c r="F414" i="7" s="1"/>
  <c r="G414" i="7"/>
  <c r="H415" i="7" s="1"/>
  <c r="I416" i="7" s="1"/>
  <c r="J417" i="7" s="1"/>
  <c r="E414" i="7"/>
  <c r="F415" i="7" s="1"/>
  <c r="L417" i="7"/>
  <c r="M417" i="7" s="1"/>
  <c r="D557" i="7"/>
  <c r="G416" i="7" l="1"/>
  <c r="H417" i="7" s="1"/>
  <c r="I418" i="7" s="1"/>
  <c r="E416" i="7"/>
  <c r="F417" i="7" s="1"/>
  <c r="K418" i="7"/>
  <c r="G415" i="7"/>
  <c r="H416" i="7" s="1"/>
  <c r="I417" i="7" s="1"/>
  <c r="J418" i="7" s="1"/>
  <c r="E415" i="7"/>
  <c r="F416" i="7" s="1"/>
  <c r="L418" i="7"/>
  <c r="M418" i="7" s="1"/>
  <c r="D558" i="7"/>
  <c r="G417" i="7" l="1"/>
  <c r="H418" i="7" s="1"/>
  <c r="I419" i="7" s="1"/>
  <c r="E417" i="7"/>
  <c r="F418" i="7" s="1"/>
  <c r="K419" i="7"/>
  <c r="L419" i="7"/>
  <c r="M419" i="7" s="1"/>
  <c r="G418" i="7"/>
  <c r="H419" i="7" s="1"/>
  <c r="E418" i="7"/>
  <c r="F419" i="7" s="1"/>
  <c r="J419" i="7"/>
  <c r="K420" i="7" s="1"/>
  <c r="D559" i="7"/>
  <c r="G420" i="7" l="1"/>
  <c r="E420" i="7"/>
  <c r="F421" i="7" s="1"/>
  <c r="I420" i="7"/>
  <c r="J421" i="7" s="1"/>
  <c r="L420" i="7"/>
  <c r="M420" i="7" s="1"/>
  <c r="L421" i="7" s="1"/>
  <c r="M421" i="7" s="1"/>
  <c r="G419" i="7"/>
  <c r="H420" i="7" s="1"/>
  <c r="E419" i="7"/>
  <c r="F420" i="7" s="1"/>
  <c r="J420" i="7"/>
  <c r="K421" i="7" s="1"/>
  <c r="D560" i="7"/>
  <c r="L422" i="7" l="1"/>
  <c r="M422" i="7" s="1"/>
  <c r="G421" i="7"/>
  <c r="E421" i="7"/>
  <c r="F422" i="7" s="1"/>
  <c r="I421" i="7"/>
  <c r="J422" i="7" s="1"/>
  <c r="K423" i="7" s="1"/>
  <c r="K422" i="7"/>
  <c r="L423" i="7" s="1"/>
  <c r="M423" i="7" s="1"/>
  <c r="E422" i="7"/>
  <c r="H421" i="7"/>
  <c r="I422" i="7" s="1"/>
  <c r="J423" i="7" s="1"/>
  <c r="K424" i="7" s="1"/>
  <c r="D561" i="7"/>
  <c r="G422" i="7" l="1"/>
  <c r="H423" i="7" s="1"/>
  <c r="I424" i="7" s="1"/>
  <c r="J425" i="7" s="1"/>
  <c r="L424" i="7"/>
  <c r="M424" i="7" s="1"/>
  <c r="L425" i="7" s="1"/>
  <c r="M425" i="7" s="1"/>
  <c r="E423" i="7"/>
  <c r="H422" i="7"/>
  <c r="I423" i="7" s="1"/>
  <c r="J424" i="7" s="1"/>
  <c r="K425" i="7" s="1"/>
  <c r="D562" i="7"/>
  <c r="L426" i="7" l="1"/>
  <c r="M426" i="7" s="1"/>
  <c r="G423" i="7"/>
  <c r="H424" i="7" s="1"/>
  <c r="I425" i="7" s="1"/>
  <c r="J426" i="7" s="1"/>
  <c r="K427" i="7" s="1"/>
  <c r="F424" i="7"/>
  <c r="K426" i="7"/>
  <c r="L427" i="7" s="1"/>
  <c r="M427" i="7" s="1"/>
  <c r="F423" i="7"/>
  <c r="D563" i="7"/>
  <c r="E424" i="7" l="1"/>
  <c r="G424" i="7"/>
  <c r="H425" i="7" s="1"/>
  <c r="I426" i="7" s="1"/>
  <c r="J427" i="7" s="1"/>
  <c r="K428" i="7" s="1"/>
  <c r="G425" i="7"/>
  <c r="H426" i="7" s="1"/>
  <c r="I427" i="7" s="1"/>
  <c r="J428" i="7" s="1"/>
  <c r="E425" i="7"/>
  <c r="F426" i="7" s="1"/>
  <c r="L428" i="7"/>
  <c r="M428" i="7" s="1"/>
  <c r="D564" i="7"/>
  <c r="G427" i="7" l="1"/>
  <c r="H428" i="7" s="1"/>
  <c r="I429" i="7" s="1"/>
  <c r="E427" i="7"/>
  <c r="F428" i="7" s="1"/>
  <c r="K429" i="7"/>
  <c r="L429" i="7"/>
  <c r="M429" i="7" s="1"/>
  <c r="F425" i="7"/>
  <c r="D565" i="7"/>
  <c r="G426" i="7" l="1"/>
  <c r="H427" i="7" s="1"/>
  <c r="I428" i="7" s="1"/>
  <c r="J429" i="7" s="1"/>
  <c r="K430" i="7" s="1"/>
  <c r="E426" i="7"/>
  <c r="F427" i="7" s="1"/>
  <c r="L430" i="7"/>
  <c r="M430" i="7" s="1"/>
  <c r="G429" i="7"/>
  <c r="H430" i="7" s="1"/>
  <c r="E429" i="7"/>
  <c r="F430" i="7" s="1"/>
  <c r="J430" i="7"/>
  <c r="K431" i="7" s="1"/>
  <c r="D566" i="7"/>
  <c r="G431" i="7" l="1"/>
  <c r="E431" i="7"/>
  <c r="F432" i="7" s="1"/>
  <c r="I431" i="7"/>
  <c r="J432" i="7" s="1"/>
  <c r="G428" i="7"/>
  <c r="H429" i="7" s="1"/>
  <c r="I430" i="7" s="1"/>
  <c r="J431" i="7" s="1"/>
  <c r="E428" i="7"/>
  <c r="F429" i="7" s="1"/>
  <c r="L431" i="7"/>
  <c r="M431" i="7" s="1"/>
  <c r="L432" i="7" s="1"/>
  <c r="M432" i="7" s="1"/>
  <c r="D567" i="7"/>
  <c r="G430" i="7" l="1"/>
  <c r="H431" i="7" s="1"/>
  <c r="I432" i="7" s="1"/>
  <c r="E430" i="7"/>
  <c r="F431" i="7" s="1"/>
  <c r="K432" i="7"/>
  <c r="L433" i="7" s="1"/>
  <c r="M433" i="7" s="1"/>
  <c r="K433" i="7"/>
  <c r="L434" i="7" s="1"/>
  <c r="M434" i="7" s="1"/>
  <c r="E433" i="7"/>
  <c r="H432" i="7"/>
  <c r="I433" i="7" s="1"/>
  <c r="J434" i="7" s="1"/>
  <c r="K435" i="7"/>
  <c r="D568" i="7"/>
  <c r="G433" i="7" l="1"/>
  <c r="H434" i="7" s="1"/>
  <c r="I435" i="7" s="1"/>
  <c r="J436" i="7" s="1"/>
  <c r="G432" i="7"/>
  <c r="H433" i="7" s="1"/>
  <c r="E432" i="7"/>
  <c r="F433" i="7" s="1"/>
  <c r="J433" i="7"/>
  <c r="K434" i="7" s="1"/>
  <c r="L435" i="7" s="1"/>
  <c r="M435" i="7" s="1"/>
  <c r="L436" i="7" s="1"/>
  <c r="M436" i="7" s="1"/>
  <c r="D569" i="7"/>
  <c r="G434" i="7" l="1"/>
  <c r="E434" i="7"/>
  <c r="F435" i="7" s="1"/>
  <c r="I434" i="7"/>
  <c r="J435" i="7" s="1"/>
  <c r="K436" i="7" s="1"/>
  <c r="L437" i="7" s="1"/>
  <c r="M437" i="7" s="1"/>
  <c r="K437" i="7"/>
  <c r="L438" i="7" s="1"/>
  <c r="M438" i="7" s="1"/>
  <c r="F434" i="7"/>
  <c r="D570" i="7"/>
  <c r="E435" i="7" l="1"/>
  <c r="G435" i="7"/>
  <c r="H436" i="7" s="1"/>
  <c r="I437" i="7" s="1"/>
  <c r="J438" i="7" s="1"/>
  <c r="K439" i="7" s="1"/>
  <c r="E436" i="7"/>
  <c r="H435" i="7"/>
  <c r="I436" i="7" s="1"/>
  <c r="J437" i="7" s="1"/>
  <c r="K438" i="7" s="1"/>
  <c r="L439" i="7" s="1"/>
  <c r="M439" i="7" s="1"/>
  <c r="D571" i="7"/>
  <c r="G436" i="7" l="1"/>
  <c r="H437" i="7" s="1"/>
  <c r="I438" i="7" s="1"/>
  <c r="J439" i="7" s="1"/>
  <c r="K440" i="7" s="1"/>
  <c r="F437" i="7"/>
  <c r="L440" i="7"/>
  <c r="M440" i="7" s="1"/>
  <c r="F436" i="7"/>
  <c r="D572" i="7"/>
  <c r="G437" i="7" l="1"/>
  <c r="H438" i="7" s="1"/>
  <c r="I439" i="7" s="1"/>
  <c r="J440" i="7" s="1"/>
  <c r="K441" i="7" s="1"/>
  <c r="E437" i="7"/>
  <c r="F438" i="7" s="1"/>
  <c r="G438" i="7"/>
  <c r="H439" i="7" s="1"/>
  <c r="I440" i="7" s="1"/>
  <c r="J441" i="7" s="1"/>
  <c r="E438" i="7"/>
  <c r="F439" i="7" s="1"/>
  <c r="L441" i="7"/>
  <c r="M441" i="7" s="1"/>
  <c r="D573" i="7"/>
  <c r="G440" i="7" l="1"/>
  <c r="H441" i="7" s="1"/>
  <c r="I442" i="7" s="1"/>
  <c r="E440" i="7"/>
  <c r="F441" i="7" s="1"/>
  <c r="K442" i="7"/>
  <c r="G439" i="7"/>
  <c r="H440" i="7" s="1"/>
  <c r="I441" i="7" s="1"/>
  <c r="J442" i="7" s="1"/>
  <c r="E439" i="7"/>
  <c r="F440" i="7" s="1"/>
  <c r="L442" i="7"/>
  <c r="M442" i="7" s="1"/>
  <c r="D574" i="7"/>
  <c r="G441" i="7" l="1"/>
  <c r="H442" i="7" s="1"/>
  <c r="I443" i="7" s="1"/>
  <c r="E441" i="7"/>
  <c r="F442" i="7" s="1"/>
  <c r="K443" i="7"/>
  <c r="L443" i="7"/>
  <c r="M443" i="7" s="1"/>
  <c r="G442" i="7"/>
  <c r="H443" i="7" s="1"/>
  <c r="E442" i="7"/>
  <c r="F443" i="7" s="1"/>
  <c r="J443" i="7"/>
  <c r="K444" i="7" s="1"/>
  <c r="D575" i="7"/>
  <c r="G444" i="7" l="1"/>
  <c r="E444" i="7"/>
  <c r="F445" i="7" s="1"/>
  <c r="I444" i="7"/>
  <c r="J445" i="7" s="1"/>
  <c r="L444" i="7"/>
  <c r="M444" i="7" s="1"/>
  <c r="L445" i="7" s="1"/>
  <c r="M445" i="7" s="1"/>
  <c r="G443" i="7"/>
  <c r="H444" i="7" s="1"/>
  <c r="E443" i="7"/>
  <c r="F444" i="7" s="1"/>
  <c r="J444" i="7"/>
  <c r="K445" i="7" s="1"/>
  <c r="D576" i="7"/>
  <c r="L446" i="7" l="1"/>
  <c r="M446" i="7" s="1"/>
  <c r="G445" i="7"/>
  <c r="E445" i="7"/>
  <c r="F446" i="7" s="1"/>
  <c r="I445" i="7"/>
  <c r="J446" i="7" s="1"/>
  <c r="K447" i="7" s="1"/>
  <c r="K446" i="7"/>
  <c r="L447" i="7" s="1"/>
  <c r="M447" i="7" s="1"/>
  <c r="E446" i="7"/>
  <c r="H445" i="7"/>
  <c r="I446" i="7" s="1"/>
  <c r="J447" i="7" s="1"/>
  <c r="K448" i="7" s="1"/>
  <c r="D577" i="7"/>
  <c r="G446" i="7" l="1"/>
  <c r="H447" i="7" s="1"/>
  <c r="I448" i="7" s="1"/>
  <c r="J449" i="7" s="1"/>
  <c r="L448" i="7"/>
  <c r="M448" i="7" s="1"/>
  <c r="L449" i="7" s="1"/>
  <c r="M449" i="7" s="1"/>
  <c r="E447" i="7"/>
  <c r="H446" i="7"/>
  <c r="I447" i="7" s="1"/>
  <c r="J448" i="7" s="1"/>
  <c r="K449" i="7" s="1"/>
  <c r="D578" i="7"/>
  <c r="L450" i="7" l="1"/>
  <c r="M450" i="7" s="1"/>
  <c r="G447" i="7"/>
  <c r="H448" i="7" s="1"/>
  <c r="I449" i="7" s="1"/>
  <c r="J450" i="7" s="1"/>
  <c r="K451" i="7" s="1"/>
  <c r="F448" i="7"/>
  <c r="K450" i="7"/>
  <c r="L451" i="7" s="1"/>
  <c r="M451" i="7" s="1"/>
  <c r="F447" i="7"/>
  <c r="D579" i="7"/>
  <c r="E448" i="7" l="1"/>
  <c r="G448" i="7"/>
  <c r="H449" i="7" s="1"/>
  <c r="I450" i="7" s="1"/>
  <c r="J451" i="7" s="1"/>
  <c r="K452" i="7" s="1"/>
  <c r="E449" i="7"/>
  <c r="G449" i="7"/>
  <c r="H450" i="7" s="1"/>
  <c r="I451" i="7" s="1"/>
  <c r="J452" i="7" s="1"/>
  <c r="L452" i="7"/>
  <c r="M452" i="7" s="1"/>
  <c r="K453" i="7" l="1"/>
  <c r="F450" i="7"/>
  <c r="L453" i="7"/>
  <c r="M453" i="7" s="1"/>
  <c r="F449" i="7"/>
  <c r="G450" i="7" l="1"/>
  <c r="H451" i="7" s="1"/>
  <c r="I452" i="7" s="1"/>
  <c r="J453" i="7" s="1"/>
  <c r="K454" i="7" s="1"/>
  <c r="E450" i="7"/>
  <c r="F451" i="7" s="1"/>
  <c r="G451" i="7"/>
  <c r="H452" i="7" s="1"/>
  <c r="I453" i="7" s="1"/>
  <c r="J454" i="7" s="1"/>
  <c r="E451" i="7"/>
  <c r="F452" i="7" s="1"/>
  <c r="L454" i="7"/>
  <c r="M454" i="7" s="1"/>
  <c r="G453" i="7" l="1"/>
  <c r="H454" i="7" s="1"/>
  <c r="I455" i="7" s="1"/>
  <c r="E453" i="7"/>
  <c r="F454" i="7" s="1"/>
  <c r="K455" i="7"/>
  <c r="G452" i="7"/>
  <c r="H453" i="7" s="1"/>
  <c r="I454" i="7" s="1"/>
  <c r="J455" i="7" s="1"/>
  <c r="E452" i="7"/>
  <c r="F453" i="7" s="1"/>
  <c r="L455" i="7"/>
  <c r="M455" i="7" s="1"/>
  <c r="G454" i="7" l="1"/>
  <c r="H455" i="7" s="1"/>
  <c r="I456" i="7" s="1"/>
  <c r="E454" i="7"/>
  <c r="F455" i="7" s="1"/>
  <c r="K456" i="7"/>
  <c r="L456" i="7"/>
  <c r="M456" i="7" s="1"/>
  <c r="G455" i="7"/>
  <c r="H456" i="7" s="1"/>
  <c r="E455" i="7"/>
  <c r="F456" i="7" s="1"/>
  <c r="J456" i="7"/>
  <c r="K457" i="7" s="1"/>
  <c r="G457" i="7" l="1"/>
  <c r="E457" i="7"/>
  <c r="F458" i="7" s="1"/>
  <c r="I457" i="7"/>
  <c r="J458" i="7" s="1"/>
  <c r="L457" i="7"/>
  <c r="M457" i="7" s="1"/>
  <c r="L458" i="7" s="1"/>
  <c r="M458" i="7" s="1"/>
  <c r="G456" i="7"/>
  <c r="H457" i="7" s="1"/>
  <c r="E456" i="7"/>
  <c r="F457" i="7" s="1"/>
  <c r="J457" i="7"/>
  <c r="K458" i="7" s="1"/>
  <c r="L459" i="7" l="1"/>
  <c r="M459" i="7" s="1"/>
  <c r="G458" i="7"/>
  <c r="E458" i="7"/>
  <c r="F459" i="7" s="1"/>
  <c r="I458" i="7"/>
  <c r="J459" i="7" s="1"/>
  <c r="K460" i="7" s="1"/>
  <c r="K459" i="7"/>
  <c r="L460" i="7" s="1"/>
  <c r="M460" i="7" s="1"/>
  <c r="E459" i="7"/>
  <c r="H458" i="7"/>
  <c r="I459" i="7" s="1"/>
  <c r="J460" i="7" s="1"/>
  <c r="K461" i="7" s="1"/>
  <c r="G459" i="7" l="1"/>
  <c r="H460" i="7" s="1"/>
  <c r="I461" i="7" s="1"/>
  <c r="J462" i="7" s="1"/>
  <c r="F460" i="7"/>
  <c r="L461" i="7"/>
  <c r="M461" i="7" s="1"/>
  <c r="L462" i="7" s="1"/>
  <c r="M462" i="7" s="1"/>
  <c r="E460" i="7"/>
  <c r="H459" i="7"/>
  <c r="I460" i="7" s="1"/>
  <c r="J461" i="7" s="1"/>
  <c r="K462" i="7" s="1"/>
  <c r="L463" i="7" l="1"/>
  <c r="M463" i="7" s="1"/>
  <c r="G460" i="7"/>
  <c r="H461" i="7" s="1"/>
  <c r="I462" i="7" s="1"/>
  <c r="J463" i="7" s="1"/>
  <c r="K464" i="7" s="1"/>
  <c r="F461" i="7"/>
  <c r="G461" i="7"/>
  <c r="H462" i="7" s="1"/>
  <c r="I463" i="7" s="1"/>
  <c r="E461" i="7"/>
  <c r="F462" i="7" s="1"/>
  <c r="K463" i="7"/>
  <c r="L464" i="7" s="1"/>
  <c r="M464" i="7" s="1"/>
  <c r="G463" i="7" l="1"/>
  <c r="H464" i="7" s="1"/>
  <c r="E463" i="7"/>
  <c r="F464" i="7" s="1"/>
  <c r="J464" i="7"/>
  <c r="K465" i="7" s="1"/>
  <c r="E462" i="7"/>
  <c r="G462" i="7"/>
  <c r="H463" i="7" s="1"/>
  <c r="I464" i="7" s="1"/>
  <c r="J465" i="7" s="1"/>
  <c r="L465" i="7"/>
  <c r="M465" i="7" s="1"/>
  <c r="K466" i="7" l="1"/>
  <c r="F463" i="7"/>
  <c r="L466" i="7"/>
  <c r="M466" i="7" s="1"/>
  <c r="G465" i="7"/>
  <c r="E465" i="7"/>
  <c r="F466" i="7" s="1"/>
  <c r="I465" i="7"/>
  <c r="J466" i="7" s="1"/>
  <c r="K467" i="7" s="1"/>
  <c r="E467" i="7" l="1"/>
  <c r="H466" i="7"/>
  <c r="I467" i="7" s="1"/>
  <c r="J468" i="7" s="1"/>
  <c r="G464" i="7"/>
  <c r="H465" i="7" s="1"/>
  <c r="I466" i="7" s="1"/>
  <c r="J467" i="7" s="1"/>
  <c r="E464" i="7"/>
  <c r="F465" i="7" s="1"/>
  <c r="L467" i="7"/>
  <c r="M467" i="7" s="1"/>
  <c r="L468" i="7" s="1"/>
  <c r="M468" i="7" l="1"/>
  <c r="K469" i="7"/>
  <c r="G466" i="7"/>
  <c r="H467" i="7" s="1"/>
  <c r="I468" i="7" s="1"/>
  <c r="E466" i="7"/>
  <c r="F467" i="7" s="1"/>
  <c r="K468" i="7"/>
  <c r="L469" i="7" s="1"/>
  <c r="M469" i="7" s="1"/>
  <c r="G467" i="7"/>
  <c r="H468" i="7" s="1"/>
  <c r="I469" i="7" s="1"/>
  <c r="J470" i="7" s="1"/>
  <c r="F468" i="7" l="1"/>
  <c r="G468" i="7"/>
  <c r="H469" i="7" s="1"/>
  <c r="E468" i="7"/>
  <c r="F469" i="7" s="1"/>
  <c r="J469" i="7"/>
  <c r="K470" i="7" s="1"/>
  <c r="L470" i="7"/>
  <c r="M470" i="7" s="1"/>
  <c r="L471" i="7" l="1"/>
  <c r="M471" i="7" s="1"/>
  <c r="E470" i="7"/>
  <c r="G470" i="7"/>
  <c r="I470" i="7"/>
  <c r="J471" i="7" s="1"/>
  <c r="K472" i="7" s="1"/>
  <c r="E469" i="7"/>
  <c r="G469" i="7"/>
  <c r="H470" i="7" s="1"/>
  <c r="I471" i="7" s="1"/>
  <c r="K471" i="7"/>
  <c r="L472" i="7" s="1"/>
  <c r="M472" i="7" s="1"/>
  <c r="J472" i="7" l="1"/>
  <c r="K473" i="7" s="1"/>
  <c r="F470" i="7"/>
  <c r="L473" i="7"/>
  <c r="M473" i="7" s="1"/>
  <c r="H471" i="7"/>
  <c r="I472" i="7" s="1"/>
  <c r="J473" i="7" s="1"/>
  <c r="K474" i="7" s="1"/>
  <c r="F471" i="7"/>
  <c r="G472" i="7" l="1"/>
  <c r="H473" i="7" s="1"/>
  <c r="I474" i="7" s="1"/>
  <c r="J475" i="7" s="1"/>
  <c r="E472" i="7"/>
  <c r="F473" i="7" s="1"/>
  <c r="G471" i="7"/>
  <c r="H472" i="7" s="1"/>
  <c r="I473" i="7" s="1"/>
  <c r="J474" i="7" s="1"/>
  <c r="E471" i="7"/>
  <c r="F472" i="7" s="1"/>
  <c r="L474" i="7"/>
  <c r="M474" i="7" s="1"/>
  <c r="L475" i="7" s="1"/>
  <c r="M475" i="7" s="1"/>
  <c r="G473" i="7" l="1"/>
  <c r="H474" i="7" s="1"/>
  <c r="I475" i="7" s="1"/>
  <c r="E473" i="7"/>
  <c r="F474" i="7" s="1"/>
  <c r="K475" i="7"/>
  <c r="L476" i="7" s="1"/>
  <c r="M476" i="7" s="1"/>
  <c r="G474" i="7"/>
  <c r="H475" i="7" s="1"/>
  <c r="I476" i="7" s="1"/>
  <c r="E474" i="7"/>
  <c r="F475" i="7" s="1"/>
  <c r="K476" i="7"/>
  <c r="L477" i="7" s="1"/>
  <c r="M477" i="7" s="1"/>
  <c r="G476" i="7" l="1"/>
  <c r="H477" i="7" s="1"/>
  <c r="E476" i="7"/>
  <c r="F477" i="7" s="1"/>
  <c r="J477" i="7"/>
  <c r="K478" i="7" s="1"/>
  <c r="G475" i="7"/>
  <c r="H476" i="7" s="1"/>
  <c r="E475" i="7"/>
  <c r="F476" i="7" s="1"/>
  <c r="J476" i="7"/>
  <c r="K477" i="7" s="1"/>
  <c r="L478" i="7" s="1"/>
  <c r="M478" i="7" s="1"/>
  <c r="G477" i="7" l="1"/>
  <c r="E477" i="7"/>
  <c r="F478" i="7" s="1"/>
  <c r="I477" i="7"/>
  <c r="J478" i="7" s="1"/>
  <c r="K479" i="7" s="1"/>
  <c r="L479" i="7"/>
  <c r="M479" i="7" s="1"/>
  <c r="G478" i="7"/>
  <c r="E478" i="7"/>
  <c r="F479" i="7" s="1"/>
  <c r="I478" i="7"/>
  <c r="J479" i="7" s="1"/>
  <c r="K480" i="7" s="1"/>
  <c r="E480" i="7" l="1"/>
  <c r="H479" i="7"/>
  <c r="I480" i="7" s="1"/>
  <c r="J481" i="7" s="1"/>
  <c r="L480" i="7"/>
  <c r="M480" i="7" s="1"/>
  <c r="L481" i="7" s="1"/>
  <c r="M481" i="7" s="1"/>
  <c r="E479" i="7"/>
  <c r="H478" i="7"/>
  <c r="I479" i="7" s="1"/>
  <c r="J480" i="7" s="1"/>
  <c r="K481" i="7" s="1"/>
  <c r="L482" i="7" s="1"/>
  <c r="M482" i="7" s="1"/>
  <c r="G479" i="7" l="1"/>
  <c r="H480" i="7" s="1"/>
  <c r="I481" i="7" s="1"/>
  <c r="J482" i="7" s="1"/>
  <c r="K483" i="7" s="1"/>
  <c r="K482" i="7"/>
  <c r="L483" i="7" s="1"/>
  <c r="M483" i="7" s="1"/>
  <c r="G480" i="7"/>
  <c r="H481" i="7" s="1"/>
  <c r="I482" i="7" s="1"/>
  <c r="J483" i="7" s="1"/>
  <c r="K484" i="7" s="1"/>
  <c r="F481" i="7" l="1"/>
  <c r="L484" i="7"/>
  <c r="M484" i="7" s="1"/>
  <c r="L485" i="7" s="1"/>
  <c r="M485" i="7" s="1"/>
  <c r="F480" i="7"/>
  <c r="E481" i="7" l="1"/>
  <c r="G481" i="7"/>
  <c r="H482" i="7" s="1"/>
  <c r="I483" i="7" s="1"/>
  <c r="J484" i="7" s="1"/>
  <c r="K485" i="7" s="1"/>
  <c r="L486" i="7" s="1"/>
  <c r="M486" i="7" s="1"/>
  <c r="E482" i="7"/>
  <c r="G482" i="7"/>
  <c r="H483" i="7" s="1"/>
  <c r="I484" i="7" s="1"/>
  <c r="J485" i="7" s="1"/>
  <c r="K486" i="7" s="1"/>
  <c r="L487" i="7" s="1"/>
  <c r="M487" i="7" s="1"/>
  <c r="F483" i="7" l="1"/>
  <c r="F482" i="7"/>
  <c r="G483" i="7" l="1"/>
  <c r="H484" i="7" s="1"/>
  <c r="I485" i="7" s="1"/>
  <c r="J486" i="7" s="1"/>
  <c r="K487" i="7" s="1"/>
  <c r="L488" i="7" s="1"/>
  <c r="M488" i="7" s="1"/>
  <c r="E483" i="7"/>
  <c r="F484" i="7" s="1"/>
  <c r="G484" i="7"/>
  <c r="H485" i="7" s="1"/>
  <c r="I486" i="7" s="1"/>
  <c r="J487" i="7" s="1"/>
  <c r="K488" i="7" s="1"/>
  <c r="L489" i="7" s="1"/>
  <c r="M489" i="7" s="1"/>
  <c r="E484" i="7"/>
  <c r="F485" i="7" s="1"/>
  <c r="G486" i="7" l="1"/>
  <c r="H487" i="7" s="1"/>
  <c r="I488" i="7" s="1"/>
  <c r="J489" i="7" s="1"/>
  <c r="K490" i="7" s="1"/>
  <c r="E486" i="7"/>
  <c r="F487" i="7" s="1"/>
  <c r="G485" i="7"/>
  <c r="H486" i="7" s="1"/>
  <c r="I487" i="7" s="1"/>
  <c r="J488" i="7" s="1"/>
  <c r="K489" i="7" s="1"/>
  <c r="L490" i="7" s="1"/>
  <c r="M490" i="7" s="1"/>
  <c r="E485" i="7"/>
  <c r="F486" i="7" s="1"/>
  <c r="G487" i="7" l="1"/>
  <c r="H488" i="7" s="1"/>
  <c r="I489" i="7" s="1"/>
  <c r="J490" i="7" s="1"/>
  <c r="K491" i="7" s="1"/>
  <c r="E487" i="7"/>
  <c r="F488" i="7" s="1"/>
  <c r="G488" i="7"/>
  <c r="H489" i="7" s="1"/>
  <c r="I490" i="7" s="1"/>
  <c r="J491" i="7" s="1"/>
  <c r="E488" i="7"/>
  <c r="F489" i="7" s="1"/>
  <c r="L491" i="7"/>
  <c r="M491" i="7" s="1"/>
  <c r="G490" i="7" l="1"/>
  <c r="H491" i="7" s="1"/>
  <c r="I492" i="7" s="1"/>
  <c r="E490" i="7"/>
  <c r="F491" i="7" s="1"/>
  <c r="K492" i="7"/>
  <c r="G489" i="7"/>
  <c r="H490" i="7" s="1"/>
  <c r="I491" i="7" s="1"/>
  <c r="J492" i="7" s="1"/>
  <c r="E489" i="7"/>
  <c r="F490" i="7" s="1"/>
  <c r="L492" i="7"/>
  <c r="M492" i="7" s="1"/>
  <c r="G491" i="7" l="1"/>
  <c r="H492" i="7" s="1"/>
  <c r="I493" i="7" s="1"/>
  <c r="E491" i="7"/>
  <c r="F492" i="7" s="1"/>
  <c r="K493" i="7"/>
  <c r="L493" i="7"/>
  <c r="M493" i="7" s="1"/>
  <c r="G492" i="7"/>
  <c r="H493" i="7" s="1"/>
  <c r="E492" i="7"/>
  <c r="F493" i="7" s="1"/>
  <c r="J493" i="7"/>
  <c r="K494" i="7" s="1"/>
  <c r="E494" i="7" l="1"/>
  <c r="G494" i="7"/>
  <c r="I494" i="7"/>
  <c r="J495" i="7" s="1"/>
  <c r="L494" i="7"/>
  <c r="M494" i="7" s="1"/>
  <c r="L495" i="7" s="1"/>
  <c r="M495" i="7" s="1"/>
  <c r="E493" i="7"/>
  <c r="G493" i="7"/>
  <c r="H494" i="7" s="1"/>
  <c r="J494" i="7"/>
  <c r="K495" i="7" s="1"/>
  <c r="L496" i="7" l="1"/>
  <c r="M496" i="7" s="1"/>
  <c r="I495" i="7"/>
  <c r="J496" i="7" s="1"/>
  <c r="K497" i="7" s="1"/>
  <c r="F494" i="7"/>
  <c r="K496" i="7"/>
  <c r="L497" i="7" s="1"/>
  <c r="M497" i="7" s="1"/>
  <c r="H495" i="7"/>
  <c r="I496" i="7" s="1"/>
  <c r="J497" i="7" s="1"/>
  <c r="K498" i="7" s="1"/>
  <c r="F495" i="7"/>
  <c r="G496" i="7" l="1"/>
  <c r="H497" i="7" s="1"/>
  <c r="I498" i="7" s="1"/>
  <c r="J499" i="7" s="1"/>
  <c r="E496" i="7"/>
  <c r="F497" i="7" s="1"/>
  <c r="G495" i="7"/>
  <c r="H496" i="7" s="1"/>
  <c r="I497" i="7" s="1"/>
  <c r="J498" i="7" s="1"/>
  <c r="E495" i="7"/>
  <c r="F496" i="7" s="1"/>
  <c r="L498" i="7"/>
  <c r="M498" i="7" s="1"/>
  <c r="L499" i="7" s="1"/>
  <c r="M499" i="7" s="1"/>
  <c r="G497" i="7" l="1"/>
  <c r="H498" i="7" s="1"/>
  <c r="I499" i="7" s="1"/>
  <c r="E497" i="7"/>
  <c r="F498" i="7" s="1"/>
  <c r="K499" i="7"/>
  <c r="L500" i="7" s="1"/>
  <c r="M500" i="7" s="1"/>
  <c r="G498" i="7"/>
  <c r="H499" i="7" s="1"/>
  <c r="I500" i="7" s="1"/>
  <c r="E498" i="7"/>
  <c r="F499" i="7" s="1"/>
  <c r="K500" i="7"/>
  <c r="L501" i="7" s="1"/>
  <c r="M501" i="7" s="1"/>
  <c r="G500" i="7" l="1"/>
  <c r="H501" i="7" s="1"/>
  <c r="E500" i="7"/>
  <c r="F501" i="7" s="1"/>
  <c r="J501" i="7"/>
  <c r="K502" i="7" s="1"/>
  <c r="G499" i="7"/>
  <c r="H500" i="7" s="1"/>
  <c r="E499" i="7"/>
  <c r="F500" i="7" s="1"/>
  <c r="J500" i="7"/>
  <c r="K501" i="7" s="1"/>
  <c r="L502" i="7" s="1"/>
  <c r="M502" i="7" s="1"/>
  <c r="G501" i="7" l="1"/>
  <c r="E501" i="7"/>
  <c r="F502" i="7" s="1"/>
  <c r="I501" i="7"/>
  <c r="J502" i="7" s="1"/>
  <c r="K503" i="7" s="1"/>
  <c r="L503" i="7"/>
  <c r="M503" i="7" s="1"/>
  <c r="E502" i="7"/>
  <c r="G502" i="7"/>
  <c r="I502" i="7"/>
  <c r="J503" i="7" s="1"/>
  <c r="K504" i="7" s="1"/>
  <c r="H503" i="7" l="1"/>
  <c r="I504" i="7" s="1"/>
  <c r="J505" i="7" s="1"/>
  <c r="F503" i="7"/>
  <c r="L504" i="7"/>
  <c r="M504" i="7" s="1"/>
  <c r="L505" i="7" s="1"/>
  <c r="M505" i="7" s="1"/>
  <c r="E503" i="7"/>
  <c r="H502" i="7"/>
  <c r="I503" i="7" s="1"/>
  <c r="J504" i="7" s="1"/>
  <c r="K505" i="7" s="1"/>
  <c r="L506" i="7" s="1"/>
  <c r="M506" i="7" s="1"/>
  <c r="G503" i="7" l="1"/>
  <c r="H504" i="7" s="1"/>
  <c r="I505" i="7" s="1"/>
  <c r="J506" i="7" s="1"/>
  <c r="K507" i="7" s="1"/>
  <c r="F504" i="7"/>
  <c r="G504" i="7"/>
  <c r="H505" i="7" s="1"/>
  <c r="I506" i="7" s="1"/>
  <c r="E504" i="7"/>
  <c r="F505" i="7" s="1"/>
  <c r="K506" i="7"/>
  <c r="L507" i="7" s="1"/>
  <c r="M507" i="7" s="1"/>
  <c r="E506" i="7" l="1"/>
  <c r="G506" i="7"/>
  <c r="H507" i="7" s="1"/>
  <c r="J507" i="7"/>
  <c r="K508" i="7" s="1"/>
  <c r="E505" i="7"/>
  <c r="G505" i="7"/>
  <c r="H506" i="7" s="1"/>
  <c r="I507" i="7" s="1"/>
  <c r="J508" i="7" s="1"/>
  <c r="L508" i="7"/>
  <c r="M508" i="7" s="1"/>
  <c r="K509" i="7" l="1"/>
  <c r="F506" i="7"/>
  <c r="L509" i="7"/>
  <c r="M509" i="7" s="1"/>
  <c r="I508" i="7"/>
  <c r="J509" i="7" s="1"/>
  <c r="K510" i="7" s="1"/>
  <c r="F507" i="7"/>
  <c r="G508" i="7" l="1"/>
  <c r="H509" i="7" s="1"/>
  <c r="I510" i="7" s="1"/>
  <c r="J511" i="7" s="1"/>
  <c r="E508" i="7"/>
  <c r="F509" i="7" s="1"/>
  <c r="G507" i="7"/>
  <c r="H508" i="7" s="1"/>
  <c r="I509" i="7" s="1"/>
  <c r="J510" i="7" s="1"/>
  <c r="E507" i="7"/>
  <c r="F508" i="7" s="1"/>
  <c r="L510" i="7"/>
  <c r="M510" i="7" s="1"/>
  <c r="L511" i="7" s="1"/>
  <c r="M511" i="7" s="1"/>
  <c r="E509" i="7" l="1"/>
  <c r="G509" i="7"/>
  <c r="H510" i="7" s="1"/>
  <c r="I511" i="7" s="1"/>
  <c r="K511" i="7"/>
  <c r="L512" i="7" s="1"/>
  <c r="M512" i="7" s="1"/>
  <c r="G510" i="7"/>
  <c r="H511" i="7" s="1"/>
  <c r="I512" i="7" s="1"/>
  <c r="E510" i="7"/>
  <c r="F511" i="7" s="1"/>
  <c r="K512" i="7"/>
  <c r="L513" i="7" s="1"/>
  <c r="M513" i="7" s="1"/>
  <c r="G512" i="7" l="1"/>
  <c r="H513" i="7" s="1"/>
  <c r="E512" i="7"/>
  <c r="F513" i="7" s="1"/>
  <c r="J513" i="7"/>
  <c r="K514" i="7" s="1"/>
  <c r="J512" i="7"/>
  <c r="K513" i="7" s="1"/>
  <c r="L514" i="7" s="1"/>
  <c r="M514" i="7" s="1"/>
  <c r="F510" i="7"/>
  <c r="G511" i="7" l="1"/>
  <c r="H512" i="7" s="1"/>
  <c r="I513" i="7" s="1"/>
  <c r="J514" i="7" s="1"/>
  <c r="K515" i="7" s="1"/>
  <c r="E511" i="7"/>
  <c r="F512" i="7" s="1"/>
  <c r="L515" i="7"/>
  <c r="M515" i="7" s="1"/>
  <c r="G514" i="7"/>
  <c r="E514" i="7"/>
  <c r="F515" i="7" s="1"/>
  <c r="I514" i="7"/>
  <c r="J515" i="7" s="1"/>
  <c r="K516" i="7" s="1"/>
  <c r="E516" i="7" l="1"/>
  <c r="H515" i="7"/>
  <c r="I516" i="7" s="1"/>
  <c r="J517" i="7" s="1"/>
  <c r="G513" i="7"/>
  <c r="H514" i="7" s="1"/>
  <c r="I515" i="7" s="1"/>
  <c r="J516" i="7" s="1"/>
  <c r="E513" i="7"/>
  <c r="F514" i="7" s="1"/>
  <c r="L516" i="7"/>
  <c r="M516" i="7" s="1"/>
  <c r="L517" i="7" s="1"/>
  <c r="M517" i="7" s="1"/>
  <c r="G515" i="7" l="1"/>
  <c r="H516" i="7" s="1"/>
  <c r="I517" i="7" s="1"/>
  <c r="E515" i="7"/>
  <c r="F516" i="7" s="1"/>
  <c r="K517" i="7"/>
  <c r="L518" i="7" s="1"/>
  <c r="M518" i="7" s="1"/>
  <c r="K518" i="7"/>
  <c r="L519" i="7" s="1"/>
  <c r="M519" i="7" s="1"/>
  <c r="G516" i="7"/>
  <c r="H517" i="7" s="1"/>
  <c r="I518" i="7" s="1"/>
  <c r="J519" i="7" s="1"/>
  <c r="K520" i="7" s="1"/>
  <c r="F517" i="7" l="1"/>
  <c r="E517" i="7"/>
  <c r="G517" i="7"/>
  <c r="H518" i="7" s="1"/>
  <c r="J518" i="7"/>
  <c r="K519" i="7" s="1"/>
  <c r="L520" i="7" s="1"/>
  <c r="M520" i="7" s="1"/>
  <c r="L521" i="7" s="1"/>
  <c r="M521" i="7" s="1"/>
  <c r="I519" i="7" l="1"/>
  <c r="J520" i="7" s="1"/>
  <c r="K521" i="7" s="1"/>
  <c r="L522" i="7" s="1"/>
  <c r="M522" i="7" s="1"/>
  <c r="F518" i="7"/>
  <c r="E518" i="7"/>
  <c r="G518" i="7"/>
  <c r="H519" i="7" s="1"/>
  <c r="I520" i="7" s="1"/>
  <c r="J521" i="7" s="1"/>
  <c r="K522" i="7" s="1"/>
  <c r="L523" i="7" s="1"/>
  <c r="M523" i="7" s="1"/>
  <c r="F519" i="7" l="1"/>
  <c r="G519" i="7"/>
  <c r="H520" i="7" s="1"/>
  <c r="I521" i="7" s="1"/>
  <c r="J522" i="7" s="1"/>
  <c r="K523" i="7" s="1"/>
  <c r="L524" i="7" s="1"/>
  <c r="M524" i="7" s="1"/>
  <c r="E519" i="7"/>
  <c r="F520" i="7" s="1"/>
  <c r="G521" i="7" l="1"/>
  <c r="H522" i="7" s="1"/>
  <c r="I523" i="7" s="1"/>
  <c r="J524" i="7" s="1"/>
  <c r="K525" i="7" s="1"/>
  <c r="E521" i="7"/>
  <c r="F522" i="7" s="1"/>
  <c r="G520" i="7"/>
  <c r="H521" i="7" s="1"/>
  <c r="I522" i="7" s="1"/>
  <c r="J523" i="7" s="1"/>
  <c r="K524" i="7" s="1"/>
  <c r="L525" i="7" s="1"/>
  <c r="M525" i="7" s="1"/>
  <c r="E520" i="7"/>
  <c r="F521" i="7" s="1"/>
  <c r="G522" i="7" l="1"/>
  <c r="H523" i="7" s="1"/>
  <c r="I524" i="7" s="1"/>
  <c r="J525" i="7" s="1"/>
  <c r="K526" i="7" s="1"/>
  <c r="E522" i="7"/>
  <c r="F523" i="7" s="1"/>
  <c r="G523" i="7"/>
  <c r="H524" i="7" s="1"/>
  <c r="I525" i="7" s="1"/>
  <c r="J526" i="7" s="1"/>
  <c r="E523" i="7"/>
  <c r="F524" i="7" s="1"/>
  <c r="L526" i="7"/>
  <c r="M526" i="7" s="1"/>
  <c r="G525" i="7" l="1"/>
  <c r="H526" i="7" s="1"/>
  <c r="I527" i="7" s="1"/>
  <c r="E525" i="7"/>
  <c r="F526" i="7" s="1"/>
  <c r="K527" i="7"/>
  <c r="G524" i="7"/>
  <c r="H525" i="7" s="1"/>
  <c r="I526" i="7" s="1"/>
  <c r="J527" i="7" s="1"/>
  <c r="E524" i="7"/>
  <c r="F525" i="7" s="1"/>
  <c r="L527" i="7"/>
  <c r="M527" i="7" s="1"/>
  <c r="G526" i="7" l="1"/>
  <c r="H527" i="7" s="1"/>
  <c r="I528" i="7" s="1"/>
  <c r="E526" i="7"/>
  <c r="F527" i="7" s="1"/>
  <c r="K528" i="7"/>
  <c r="L528" i="7"/>
  <c r="M528" i="7" s="1"/>
  <c r="G527" i="7"/>
  <c r="H528" i="7" s="1"/>
  <c r="E527" i="7"/>
  <c r="F528" i="7" s="1"/>
  <c r="J528" i="7"/>
  <c r="K529" i="7" s="1"/>
  <c r="E529" i="7" l="1"/>
  <c r="G529" i="7"/>
  <c r="I529" i="7"/>
  <c r="J530" i="7" s="1"/>
  <c r="L529" i="7"/>
  <c r="M529" i="7" s="1"/>
  <c r="L530" i="7" s="1"/>
  <c r="M530" i="7" s="1"/>
  <c r="G528" i="7"/>
  <c r="H529" i="7" s="1"/>
  <c r="E528" i="7"/>
  <c r="F529" i="7" s="1"/>
  <c r="J529" i="7"/>
  <c r="K530" i="7" s="1"/>
  <c r="L531" i="7" l="1"/>
  <c r="M531" i="7" s="1"/>
  <c r="E530" i="7"/>
  <c r="G530" i="7"/>
  <c r="I530" i="7"/>
  <c r="J531" i="7" s="1"/>
  <c r="K532" i="7" s="1"/>
  <c r="K531" i="7"/>
  <c r="L532" i="7" s="1"/>
  <c r="M532" i="7" s="1"/>
  <c r="H530" i="7"/>
  <c r="I531" i="7" s="1"/>
  <c r="J532" i="7" s="1"/>
  <c r="K533" i="7" s="1"/>
  <c r="F530" i="7"/>
  <c r="E531" i="7" l="1"/>
  <c r="G531" i="7"/>
  <c r="H532" i="7" s="1"/>
  <c r="I533" i="7" s="1"/>
  <c r="J534" i="7" s="1"/>
  <c r="L533" i="7"/>
  <c r="M533" i="7" s="1"/>
  <c r="L534" i="7" s="1"/>
  <c r="M534" i="7" s="1"/>
  <c r="H531" i="7"/>
  <c r="I532" i="7" s="1"/>
  <c r="J533" i="7" s="1"/>
  <c r="K534" i="7" s="1"/>
  <c r="F531" i="7"/>
  <c r="G532" i="7" l="1"/>
  <c r="H533" i="7" s="1"/>
  <c r="I534" i="7" s="1"/>
  <c r="J535" i="7" s="1"/>
  <c r="E532" i="7"/>
  <c r="F533" i="7" s="1"/>
  <c r="L535" i="7"/>
  <c r="M535" i="7" s="1"/>
  <c r="K535" i="7"/>
  <c r="L536" i="7" s="1"/>
  <c r="M536" i="7" s="1"/>
  <c r="F532" i="7"/>
  <c r="G533" i="7" l="1"/>
  <c r="H534" i="7" s="1"/>
  <c r="I535" i="7" s="1"/>
  <c r="J536" i="7" s="1"/>
  <c r="K537" i="7" s="1"/>
  <c r="E533" i="7"/>
  <c r="F534" i="7" s="1"/>
  <c r="G534" i="7"/>
  <c r="H535" i="7" s="1"/>
  <c r="I536" i="7" s="1"/>
  <c r="E534" i="7"/>
  <c r="F535" i="7" s="1"/>
  <c r="K536" i="7"/>
  <c r="L537" i="7" s="1"/>
  <c r="M537" i="7" s="1"/>
  <c r="G536" i="7" l="1"/>
  <c r="H537" i="7" s="1"/>
  <c r="E536" i="7"/>
  <c r="F537" i="7" s="1"/>
  <c r="J537" i="7"/>
  <c r="K538" i="7" s="1"/>
  <c r="G535" i="7"/>
  <c r="H536" i="7" s="1"/>
  <c r="I537" i="7" s="1"/>
  <c r="J538" i="7" s="1"/>
  <c r="E535" i="7"/>
  <c r="F536" i="7" s="1"/>
  <c r="L538" i="7"/>
  <c r="M538" i="7" s="1"/>
  <c r="G537" i="7" l="1"/>
  <c r="H538" i="7" s="1"/>
  <c r="I539" i="7" s="1"/>
  <c r="E537" i="7"/>
  <c r="F538" i="7" s="1"/>
  <c r="K539" i="7"/>
  <c r="L539" i="7"/>
  <c r="M539" i="7" s="1"/>
  <c r="E538" i="7"/>
  <c r="G538" i="7"/>
  <c r="I538" i="7"/>
  <c r="J539" i="7" s="1"/>
  <c r="K540" i="7" s="1"/>
  <c r="H539" i="7" l="1"/>
  <c r="I540" i="7" s="1"/>
  <c r="J541" i="7" s="1"/>
  <c r="F539" i="7"/>
  <c r="L540" i="7"/>
  <c r="M540" i="7" s="1"/>
  <c r="L541" i="7" s="1"/>
  <c r="M541" i="7" s="1"/>
  <c r="G539" i="7"/>
  <c r="H540" i="7" s="1"/>
  <c r="E539" i="7"/>
  <c r="F540" i="7" s="1"/>
  <c r="J540" i="7"/>
  <c r="K541" i="7" s="1"/>
  <c r="L542" i="7" s="1"/>
  <c r="M542" i="7" s="1"/>
  <c r="E541" i="7" l="1"/>
  <c r="G541" i="7"/>
  <c r="I541" i="7"/>
  <c r="J542" i="7" s="1"/>
  <c r="K543" i="7" s="1"/>
  <c r="G540" i="7"/>
  <c r="H541" i="7" s="1"/>
  <c r="I542" i="7" s="1"/>
  <c r="E540" i="7"/>
  <c r="F541" i="7" s="1"/>
  <c r="K542" i="7"/>
  <c r="L543" i="7" s="1"/>
  <c r="M543" i="7" s="1"/>
  <c r="E542" i="7" l="1"/>
  <c r="G542" i="7"/>
  <c r="H543" i="7" s="1"/>
  <c r="J543" i="7"/>
  <c r="K544" i="7" s="1"/>
  <c r="L544" i="7"/>
  <c r="M544" i="7" s="1"/>
  <c r="H542" i="7"/>
  <c r="I543" i="7" s="1"/>
  <c r="J544" i="7" s="1"/>
  <c r="K545" i="7" s="1"/>
  <c r="F542" i="7"/>
  <c r="G543" i="7" l="1"/>
  <c r="H544" i="7" s="1"/>
  <c r="I545" i="7" s="1"/>
  <c r="J546" i="7" s="1"/>
  <c r="E543" i="7"/>
  <c r="F544" i="7" s="1"/>
  <c r="L545" i="7"/>
  <c r="M545" i="7" s="1"/>
  <c r="L546" i="7" s="1"/>
  <c r="M546" i="7" s="1"/>
  <c r="I544" i="7"/>
  <c r="J545" i="7" s="1"/>
  <c r="K546" i="7" s="1"/>
  <c r="F543" i="7"/>
  <c r="G544" i="7" l="1"/>
  <c r="H545" i="7" s="1"/>
  <c r="I546" i="7" s="1"/>
  <c r="J547" i="7" s="1"/>
  <c r="E544" i="7"/>
  <c r="F545" i="7" s="1"/>
  <c r="L547" i="7"/>
  <c r="M547" i="7" s="1"/>
  <c r="G545" i="7"/>
  <c r="H546" i="7" s="1"/>
  <c r="I547" i="7" s="1"/>
  <c r="E545" i="7"/>
  <c r="F546" i="7" s="1"/>
  <c r="K547" i="7"/>
  <c r="L548" i="7" s="1"/>
  <c r="M548" i="7" s="1"/>
  <c r="G547" i="7" l="1"/>
  <c r="H548" i="7" s="1"/>
  <c r="E547" i="7"/>
  <c r="F548" i="7" s="1"/>
  <c r="J548" i="7"/>
  <c r="K549" i="7" s="1"/>
  <c r="G546" i="7"/>
  <c r="H547" i="7" s="1"/>
  <c r="I548" i="7" s="1"/>
  <c r="E546" i="7"/>
  <c r="F547" i="7" s="1"/>
  <c r="K548" i="7"/>
  <c r="L549" i="7" s="1"/>
  <c r="M549" i="7" s="1"/>
  <c r="E548" i="7" l="1"/>
  <c r="G548" i="7"/>
  <c r="H549" i="7" s="1"/>
  <c r="J549" i="7"/>
  <c r="K550" i="7" s="1"/>
  <c r="L550" i="7"/>
  <c r="M550" i="7" s="1"/>
  <c r="G549" i="7"/>
  <c r="E549" i="7"/>
  <c r="F550" i="7" s="1"/>
  <c r="I549" i="7"/>
  <c r="J550" i="7" s="1"/>
  <c r="K551" i="7" s="1"/>
  <c r="E551" i="7" l="1"/>
  <c r="H550" i="7"/>
  <c r="I551" i="7" s="1"/>
  <c r="J552" i="7" s="1"/>
  <c r="L551" i="7"/>
  <c r="M551" i="7" s="1"/>
  <c r="L552" i="7" s="1"/>
  <c r="I550" i="7"/>
  <c r="J551" i="7" s="1"/>
  <c r="K552" i="7" s="1"/>
  <c r="F549" i="7"/>
  <c r="M552" i="7" l="1"/>
  <c r="L553" i="7" s="1"/>
  <c r="M553" i="7" s="1"/>
  <c r="K553" i="7"/>
  <c r="L554" i="7" s="1"/>
  <c r="M554" i="7" s="1"/>
  <c r="G550" i="7"/>
  <c r="H551" i="7" s="1"/>
  <c r="I552" i="7" s="1"/>
  <c r="J553" i="7" s="1"/>
  <c r="K554" i="7" s="1"/>
  <c r="L555" i="7" s="1"/>
  <c r="M555" i="7" s="1"/>
  <c r="E550" i="7"/>
  <c r="F551" i="7" s="1"/>
  <c r="G551" i="7"/>
  <c r="H552" i="7" s="1"/>
  <c r="I553" i="7" s="1"/>
  <c r="J554" i="7" s="1"/>
  <c r="K555" i="7" s="1"/>
  <c r="L556" i="7" s="1"/>
  <c r="M556" i="7" s="1"/>
  <c r="G552" i="7" l="1"/>
  <c r="H553" i="7" s="1"/>
  <c r="I554" i="7" s="1"/>
  <c r="J555" i="7" s="1"/>
  <c r="K556" i="7" s="1"/>
  <c r="E552" i="7"/>
  <c r="F553" i="7" s="1"/>
  <c r="F552" i="7"/>
  <c r="L557" i="7"/>
  <c r="M557" i="7" s="1"/>
  <c r="E553" i="7" l="1"/>
  <c r="G553" i="7"/>
  <c r="H554" i="7" s="1"/>
  <c r="I555" i="7" s="1"/>
  <c r="J556" i="7" s="1"/>
  <c r="K557" i="7" s="1"/>
  <c r="L558" i="7" s="1"/>
  <c r="M558" i="7" s="1"/>
  <c r="E554" i="7"/>
  <c r="F555" i="7" s="1"/>
  <c r="G554" i="7"/>
  <c r="H555" i="7" s="1"/>
  <c r="I556" i="7" s="1"/>
  <c r="J557" i="7" s="1"/>
  <c r="K558" i="7" s="1"/>
  <c r="L559" i="7" s="1"/>
  <c r="M559" i="7" s="1"/>
  <c r="G556" i="7"/>
  <c r="H557" i="7" s="1"/>
  <c r="I558" i="7" s="1"/>
  <c r="J559" i="7" s="1"/>
  <c r="K560" i="7" s="1"/>
  <c r="E556" i="7"/>
  <c r="F557" i="7" s="1"/>
  <c r="F554" i="7" l="1"/>
  <c r="G558" i="7"/>
  <c r="H559" i="7" s="1"/>
  <c r="I560" i="7" s="1"/>
  <c r="J561" i="7" s="1"/>
  <c r="E558" i="7"/>
  <c r="F559" i="7" s="1"/>
  <c r="G555" i="7" l="1"/>
  <c r="H556" i="7" s="1"/>
  <c r="I557" i="7" s="1"/>
  <c r="J558" i="7" s="1"/>
  <c r="K559" i="7" s="1"/>
  <c r="L560" i="7" s="1"/>
  <c r="M560" i="7" s="1"/>
  <c r="L561" i="7" s="1"/>
  <c r="M561" i="7" s="1"/>
  <c r="E555" i="7"/>
  <c r="G560" i="7"/>
  <c r="H561" i="7" s="1"/>
  <c r="I562" i="7" s="1"/>
  <c r="E560" i="7"/>
  <c r="F561" i="7" s="1"/>
  <c r="K562" i="7" l="1"/>
  <c r="F556" i="7"/>
  <c r="G562" i="7"/>
  <c r="H563" i="7" s="1"/>
  <c r="E562" i="7"/>
  <c r="F563" i="7" s="1"/>
  <c r="J563" i="7"/>
  <c r="E557" i="7" l="1"/>
  <c r="G557" i="7"/>
  <c r="H558" i="7" s="1"/>
  <c r="I559" i="7" s="1"/>
  <c r="J560" i="7" s="1"/>
  <c r="K561" i="7" s="1"/>
  <c r="L562" i="7" s="1"/>
  <c r="M562" i="7" s="1"/>
  <c r="L563" i="7" s="1"/>
  <c r="G564" i="7"/>
  <c r="E564" i="7"/>
  <c r="F565" i="7" s="1"/>
  <c r="I564" i="7"/>
  <c r="M563" i="7" l="1"/>
  <c r="K564" i="7"/>
  <c r="J565" i="7"/>
  <c r="F558" i="7"/>
  <c r="E566" i="7"/>
  <c r="H565" i="7"/>
  <c r="I566" i="7" s="1"/>
  <c r="G559" i="7" l="1"/>
  <c r="H560" i="7" s="1"/>
  <c r="I561" i="7" s="1"/>
  <c r="J562" i="7" s="1"/>
  <c r="K563" i="7" s="1"/>
  <c r="L564" i="7" s="1"/>
  <c r="M564" i="7" s="1"/>
  <c r="L565" i="7" s="1"/>
  <c r="E559" i="7"/>
  <c r="F560" i="7" s="1"/>
  <c r="G566" i="7"/>
  <c r="H567" i="7" s="1"/>
  <c r="G561" i="7" l="1"/>
  <c r="H562" i="7" s="1"/>
  <c r="I563" i="7" s="1"/>
  <c r="J564" i="7" s="1"/>
  <c r="K565" i="7" s="1"/>
  <c r="E561" i="7"/>
  <c r="F562" i="7" s="1"/>
  <c r="M565" i="7"/>
  <c r="K566" i="7"/>
  <c r="F567" i="7"/>
  <c r="J567" i="7" l="1"/>
  <c r="G563" i="7"/>
  <c r="H564" i="7" s="1"/>
  <c r="I565" i="7" s="1"/>
  <c r="J566" i="7" s="1"/>
  <c r="E563" i="7"/>
  <c r="F564" i="7" s="1"/>
  <c r="L566" i="7"/>
  <c r="M566" i="7" s="1"/>
  <c r="L567" i="7" s="1"/>
  <c r="M567" i="7" s="1"/>
  <c r="G568" i="7"/>
  <c r="E568" i="7"/>
  <c r="F569" i="7" s="1"/>
  <c r="E565" i="7" l="1"/>
  <c r="G565" i="7"/>
  <c r="H566" i="7" s="1"/>
  <c r="I567" i="7" s="1"/>
  <c r="K567" i="7"/>
  <c r="L568" i="7" s="1"/>
  <c r="M568" i="7" s="1"/>
  <c r="K568" i="7"/>
  <c r="L569" i="7" s="1"/>
  <c r="M569" i="7" s="1"/>
  <c r="I568" i="7"/>
  <c r="J569" i="7" s="1"/>
  <c r="K570" i="7" s="1"/>
  <c r="E570" i="7"/>
  <c r="J568" i="7" l="1"/>
  <c r="K569" i="7" s="1"/>
  <c r="L570" i="7" s="1"/>
  <c r="M570" i="7" s="1"/>
  <c r="L571" i="7" s="1"/>
  <c r="M571" i="7" s="1"/>
  <c r="F566" i="7"/>
  <c r="H569" i="7"/>
  <c r="I570" i="7" l="1"/>
  <c r="J571" i="7" s="1"/>
  <c r="K572" i="7" s="1"/>
  <c r="G570" i="7"/>
  <c r="G567" i="7"/>
  <c r="H568" i="7" s="1"/>
  <c r="I569" i="7" s="1"/>
  <c r="J570" i="7" s="1"/>
  <c r="K571" i="7" s="1"/>
  <c r="L572" i="7" s="1"/>
  <c r="M572" i="7" s="1"/>
  <c r="E567" i="7"/>
  <c r="F568" i="7" s="1"/>
  <c r="G569" i="7" l="1"/>
  <c r="H570" i="7" s="1"/>
  <c r="I571" i="7" s="1"/>
  <c r="J572" i="7" s="1"/>
  <c r="K573" i="7" s="1"/>
  <c r="E569" i="7"/>
  <c r="F570" i="7" s="1"/>
  <c r="H571" i="7"/>
  <c r="I572" i="7" s="1"/>
  <c r="J573" i="7" s="1"/>
  <c r="F571" i="7"/>
  <c r="L573" i="7"/>
  <c r="M573" i="7" s="1"/>
  <c r="G572" i="7" l="1"/>
  <c r="H573" i="7" s="1"/>
  <c r="I574" i="7" s="1"/>
  <c r="E572" i="7"/>
  <c r="F573" i="7" s="1"/>
  <c r="K574" i="7"/>
  <c r="G571" i="7"/>
  <c r="H572" i="7" s="1"/>
  <c r="I573" i="7" s="1"/>
  <c r="J574" i="7" s="1"/>
  <c r="E571" i="7"/>
  <c r="F572" i="7" s="1"/>
  <c r="L574" i="7"/>
  <c r="M574" i="7" s="1"/>
  <c r="G573" i="7" l="1"/>
  <c r="H574" i="7" s="1"/>
  <c r="I575" i="7" s="1"/>
  <c r="E573" i="7"/>
  <c r="F574" i="7" s="1"/>
  <c r="K575" i="7"/>
  <c r="L575" i="7"/>
  <c r="M575" i="7" s="1"/>
  <c r="G574" i="7"/>
  <c r="H575" i="7" s="1"/>
  <c r="E574" i="7"/>
  <c r="F575" i="7" s="1"/>
  <c r="J575" i="7"/>
  <c r="K576" i="7" s="1"/>
  <c r="L577" i="7" l="1"/>
  <c r="M577" i="7" s="1"/>
  <c r="G576" i="7"/>
  <c r="E576" i="7"/>
  <c r="F577" i="7" s="1"/>
  <c r="I576" i="7"/>
  <c r="J577" i="7" s="1"/>
  <c r="L576" i="7"/>
  <c r="M576" i="7" s="1"/>
  <c r="G575" i="7"/>
  <c r="H576" i="7" s="1"/>
  <c r="E575" i="7"/>
  <c r="F576" i="7" s="1"/>
  <c r="J576" i="7"/>
  <c r="K577" i="7" s="1"/>
  <c r="L578" i="7" l="1"/>
  <c r="M578" i="7" s="1"/>
  <c r="E577" i="7"/>
  <c r="G577" i="7"/>
  <c r="I577" i="7"/>
  <c r="J578" i="7" s="1"/>
  <c r="K579" i="7" s="1"/>
  <c r="K578" i="7"/>
  <c r="L579" i="7" s="1"/>
  <c r="M579" i="7" s="1"/>
  <c r="E578" i="7"/>
  <c r="H577" i="7"/>
  <c r="I578" i="7" s="1"/>
  <c r="J579" i="7" s="1"/>
  <c r="F578" i="7" l="1"/>
  <c r="G578" i="7"/>
  <c r="H579" i="7" s="1"/>
  <c r="H578" i="7"/>
  <c r="I579" i="7" s="1"/>
  <c r="G579" i="7" l="1"/>
  <c r="E579" i="7"/>
  <c r="F579" i="7"/>
  <c r="E7" i="6"/>
  <c r="F7" i="6"/>
  <c r="G7" i="6"/>
  <c r="H7" i="6"/>
  <c r="I7" i="6"/>
  <c r="D8" i="6"/>
  <c r="E8" i="6"/>
  <c r="F8" i="6"/>
  <c r="G8" i="6"/>
  <c r="H8" i="6"/>
  <c r="I8" i="6"/>
  <c r="D9" i="6"/>
  <c r="E9" i="6"/>
  <c r="F9" i="6"/>
  <c r="G9" i="6"/>
  <c r="H9" i="6"/>
  <c r="I9" i="6"/>
  <c r="D15" i="6"/>
  <c r="E15" i="6"/>
  <c r="F15" i="6"/>
  <c r="G15" i="6"/>
  <c r="D16" i="6"/>
  <c r="E16" i="6"/>
  <c r="F16" i="6"/>
  <c r="G16" i="6"/>
</calcChain>
</file>

<file path=xl/sharedStrings.xml><?xml version="1.0" encoding="utf-8"?>
<sst xmlns="http://schemas.openxmlformats.org/spreadsheetml/2006/main" count="133" uniqueCount="51">
  <si>
    <t>i</t>
  </si>
  <si>
    <t>xi</t>
  </si>
  <si>
    <t>f(xi)</t>
  </si>
  <si>
    <t>n</t>
  </si>
  <si>
    <t>h</t>
  </si>
  <si>
    <t>S</t>
  </si>
  <si>
    <t>x0 e xn é o intervalo</t>
  </si>
  <si>
    <t>da integral</t>
  </si>
  <si>
    <t>integral:</t>
  </si>
  <si>
    <t>Mult</t>
  </si>
  <si>
    <t>f(xi)*Mult</t>
  </si>
  <si>
    <t>Soma:</t>
  </si>
  <si>
    <t>ERRO:</t>
  </si>
  <si>
    <t>a</t>
  </si>
  <si>
    <t>b</t>
  </si>
  <si>
    <t>Mult S1</t>
  </si>
  <si>
    <t>f(xi)*Mult S1</t>
  </si>
  <si>
    <t>Mult S2</t>
  </si>
  <si>
    <t>f(xi)*Mult S2</t>
  </si>
  <si>
    <t>Mult trap</t>
  </si>
  <si>
    <t>f(xi)*Mult trap</t>
  </si>
  <si>
    <t>SOMA =</t>
  </si>
  <si>
    <t>SOMA=</t>
  </si>
  <si>
    <t xml:space="preserve">It = </t>
  </si>
  <si>
    <t xml:space="preserve">IS1 = </t>
  </si>
  <si>
    <t xml:space="preserve">IS2 = </t>
  </si>
  <si>
    <t>yi</t>
  </si>
  <si>
    <t>y'i</t>
  </si>
  <si>
    <t>Cond. Inicial</t>
  </si>
  <si>
    <t>y' = 1-2xy</t>
  </si>
  <si>
    <t>y' = y</t>
  </si>
  <si>
    <t>Erro</t>
  </si>
  <si>
    <t>y analítico</t>
  </si>
  <si>
    <t>INTERVALOS PEQUENOS</t>
  </si>
  <si>
    <t>k1</t>
  </si>
  <si>
    <t>k2</t>
  </si>
  <si>
    <t>k3</t>
  </si>
  <si>
    <t>k4</t>
  </si>
  <si>
    <t>zi</t>
  </si>
  <si>
    <t>L1</t>
  </si>
  <si>
    <t>L2</t>
  </si>
  <si>
    <t>L3</t>
  </si>
  <si>
    <t>L4</t>
  </si>
  <si>
    <t>Y' = z</t>
  </si>
  <si>
    <t>Z</t>
  </si>
  <si>
    <t>NÓ VIRA CELULA!!!</t>
  </si>
  <si>
    <t>J</t>
  </si>
  <si>
    <t>T</t>
  </si>
  <si>
    <t>DELTA X=</t>
  </si>
  <si>
    <t>DELTA T=</t>
  </si>
  <si>
    <t>FICTICIO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</si>
</sst>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0000"/>
    <numFmt numFmtId="167" formatCode="0.00000000"/>
    <numFmt numFmtId="168" formatCode="0.0000000"/>
    <numFmt numFmtId="169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26"/>
      <color rgb="FFFF0000"/>
      <name val="Calibri"/>
      <family val="2"/>
      <scheme val="minor"/>
    </font>
    <font>
      <sz val="26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2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1" applyNumberFormat="1" applyFont="1"/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/>
    <xf numFmtId="0" fontId="3" fillId="0" borderId="0" xfId="0" applyFont="1"/>
    <xf numFmtId="0" fontId="5" fillId="0" borderId="0" xfId="0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5" borderId="0" xfId="0" applyFont="1" applyFill="1" applyAlignment="1">
      <alignment horizontal="center"/>
    </xf>
    <xf numFmtId="167" fontId="0" fillId="5" borderId="0" xfId="0" applyNumberFormat="1" applyFill="1" applyAlignment="1">
      <alignment horizontal="center"/>
    </xf>
    <xf numFmtId="0" fontId="7" fillId="5" borderId="0" xfId="0" applyFont="1" applyFill="1" applyAlignment="1">
      <alignment horizontal="center"/>
    </xf>
    <xf numFmtId="169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0" fillId="5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10" fillId="0" borderId="0" xfId="0" applyNumberFormat="1" applyFont="1" applyAlignment="1">
      <alignment horizontal="center"/>
    </xf>
    <xf numFmtId="1" fontId="10" fillId="5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'Equações Diferenciais - Euler'!$D$7:$D$16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xVal>
          <c:yVal>
            <c:numRef>
              <c:f>'Equações Diferenciais - Euler'!$E$7:$E$16</c:f>
              <c:numCache>
                <c:formatCode>General</c:formatCode>
                <c:ptCount val="10"/>
                <c:pt idx="0" formatCode="0.000000">
                  <c:v>1.01</c:v>
                </c:pt>
                <c:pt idx="1">
                  <c:v>1.0201</c:v>
                </c:pt>
                <c:pt idx="2">
                  <c:v>1.0303009999999999</c:v>
                </c:pt>
                <c:pt idx="3">
                  <c:v>1.0406040099999998</c:v>
                </c:pt>
                <c:pt idx="4">
                  <c:v>1.0510100500999997</c:v>
                </c:pt>
                <c:pt idx="5">
                  <c:v>1.0615201506009997</c:v>
                </c:pt>
                <c:pt idx="6">
                  <c:v>1.0721353521070096</c:v>
                </c:pt>
                <c:pt idx="7">
                  <c:v>1.0828567056280798</c:v>
                </c:pt>
                <c:pt idx="8">
                  <c:v>1.0936852726843607</c:v>
                </c:pt>
                <c:pt idx="9">
                  <c:v>1.1046221254112043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E-4D1A-9C42-953CF619D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484095"/>
        <c:axId val="1906486591"/>
      </c:scatterChart>
      <c:valAx>
        <c:axId val="190648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486591"/>
        <c:crosses val="autoZero"/>
        <c:crossBetween val="midCat"/>
      </c:valAx>
      <c:valAx>
        <c:axId val="190648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48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3060</xdr:rowOff>
    </xdr:from>
    <xdr:to>
      <xdr:col>7</xdr:col>
      <xdr:colOff>1038225</xdr:colOff>
      <xdr:row>1</xdr:row>
      <xdr:rowOff>152497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BB44B3-F88B-43BA-9BBE-56DEA0F0E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900" y="3060"/>
          <a:ext cx="2333625" cy="33993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33</xdr:row>
      <xdr:rowOff>38759</xdr:rowOff>
    </xdr:from>
    <xdr:to>
      <xdr:col>9</xdr:col>
      <xdr:colOff>477690</xdr:colOff>
      <xdr:row>38</xdr:row>
      <xdr:rowOff>9740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940656-B990-4129-88F5-1B8D1D41D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6344309"/>
          <a:ext cx="6173640" cy="923481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39</xdr:row>
      <xdr:rowOff>38100</xdr:rowOff>
    </xdr:from>
    <xdr:to>
      <xdr:col>7</xdr:col>
      <xdr:colOff>752871</xdr:colOff>
      <xdr:row>43</xdr:row>
      <xdr:rowOff>57259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A739EBC-2178-4B30-A10B-DEA395C16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7486650"/>
          <a:ext cx="2838846" cy="781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7</xdr:col>
      <xdr:colOff>390803</xdr:colOff>
      <xdr:row>3</xdr:row>
      <xdr:rowOff>104840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D617DA-9DDA-4E0C-B06D-63B70ED8D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" y="209550"/>
          <a:ext cx="1991003" cy="466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16</xdr:row>
      <xdr:rowOff>23812</xdr:rowOff>
    </xdr:from>
    <xdr:to>
      <xdr:col>18</xdr:col>
      <xdr:colOff>238125</xdr:colOff>
      <xdr:row>30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7A0F4-01D1-403F-840B-D3123D695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178237</xdr:colOff>
      <xdr:row>14</xdr:row>
      <xdr:rowOff>0</xdr:rowOff>
    </xdr:from>
    <xdr:to>
      <xdr:col>27</xdr:col>
      <xdr:colOff>144775</xdr:colOff>
      <xdr:row>27</xdr:row>
      <xdr:rowOff>105510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CA5309-4636-4D5E-836C-CF21AE64A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4712" y="2686050"/>
          <a:ext cx="6672138" cy="2582010"/>
        </a:xfrm>
        <a:prstGeom prst="rect">
          <a:avLst/>
        </a:prstGeom>
      </xdr:spPr>
    </xdr:pic>
    <xdr:clientData/>
  </xdr:twoCellAnchor>
  <xdr:twoCellAnchor editAs="oneCell">
    <xdr:from>
      <xdr:col>6</xdr:col>
      <xdr:colOff>272883</xdr:colOff>
      <xdr:row>18</xdr:row>
      <xdr:rowOff>114300</xdr:rowOff>
    </xdr:from>
    <xdr:to>
      <xdr:col>15</xdr:col>
      <xdr:colOff>316222</xdr:colOff>
      <xdr:row>30</xdr:row>
      <xdr:rowOff>124613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75D798-A643-4D63-826D-EF1A7A36D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3358" y="3562350"/>
          <a:ext cx="5529739" cy="22963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200024</xdr:colOff>
      <xdr:row>2</xdr:row>
      <xdr:rowOff>28235</xdr:rowOff>
    </xdr:from>
    <xdr:to>
      <xdr:col>27</xdr:col>
      <xdr:colOff>119811</xdr:colOff>
      <xdr:row>7</xdr:row>
      <xdr:rowOff>640773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EFEE54-3DB9-4359-BD37-B10F2D79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7115" y="1552235"/>
          <a:ext cx="10587787" cy="44225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438149</xdr:colOff>
      <xdr:row>1</xdr:row>
      <xdr:rowOff>188318</xdr:rowOff>
    </xdr:from>
    <xdr:to>
      <xdr:col>22</xdr:col>
      <xdr:colOff>468836</xdr:colOff>
      <xdr:row>10</xdr:row>
      <xdr:rowOff>181710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832891-855A-4A4D-8613-A6AC5D4A5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2549" y="378818"/>
          <a:ext cx="4907487" cy="1707892"/>
        </a:xfrm>
        <a:prstGeom prst="rect">
          <a:avLst/>
        </a:prstGeom>
      </xdr:spPr>
    </xdr:pic>
    <xdr:clientData/>
  </xdr:twoCellAnchor>
  <xdr:twoCellAnchor editAs="oneCell">
    <xdr:from>
      <xdr:col>14</xdr:col>
      <xdr:colOff>200024</xdr:colOff>
      <xdr:row>11</xdr:row>
      <xdr:rowOff>179749</xdr:rowOff>
    </xdr:from>
    <xdr:to>
      <xdr:col>24</xdr:col>
      <xdr:colOff>88203</xdr:colOff>
      <xdr:row>24</xdr:row>
      <xdr:rowOff>29539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BD32CF-4A18-4E34-8B8F-512B4F8CF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4" y="2275249"/>
          <a:ext cx="5984179" cy="2326290"/>
        </a:xfrm>
        <a:prstGeom prst="rect">
          <a:avLst/>
        </a:prstGeom>
      </xdr:spPr>
    </xdr:pic>
    <xdr:clientData/>
  </xdr:twoCellAnchor>
  <xdr:twoCellAnchor editAs="oneCell">
    <xdr:from>
      <xdr:col>23</xdr:col>
      <xdr:colOff>205934</xdr:colOff>
      <xdr:row>2</xdr:row>
      <xdr:rowOff>133349</xdr:rowOff>
    </xdr:from>
    <xdr:to>
      <xdr:col>28</xdr:col>
      <xdr:colOff>286483</xdr:colOff>
      <xdr:row>10</xdr:row>
      <xdr:rowOff>162288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ED915D6-BBF5-4DA3-828B-6AD3256AC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26734" y="514349"/>
          <a:ext cx="3128549" cy="1552939"/>
        </a:xfrm>
        <a:prstGeom prst="rect">
          <a:avLst/>
        </a:prstGeom>
      </xdr:spPr>
    </xdr:pic>
    <xdr:clientData/>
  </xdr:twoCellAnchor>
  <xdr:twoCellAnchor>
    <xdr:from>
      <xdr:col>12</xdr:col>
      <xdr:colOff>152400</xdr:colOff>
      <xdr:row>118</xdr:row>
      <xdr:rowOff>152400</xdr:rowOff>
    </xdr:from>
    <xdr:to>
      <xdr:col>15</xdr:col>
      <xdr:colOff>76200</xdr:colOff>
      <xdr:row>120</xdr:row>
      <xdr:rowOff>47625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10FDE7A-AC37-4E9D-8BC9-1C2A55CE8539}"/>
            </a:ext>
          </a:extLst>
        </xdr:cNvPr>
        <xdr:cNvSpPr txBox="1"/>
      </xdr:nvSpPr>
      <xdr:spPr>
        <a:xfrm>
          <a:off x="7467600" y="22631400"/>
          <a:ext cx="17526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EQUILIBRIO</a:t>
          </a:r>
        </a:p>
      </xdr:txBody>
    </xdr:sp>
    <xdr:clientData/>
  </xdr:twoCellAnchor>
  <xdr:twoCellAnchor editAs="oneCell">
    <xdr:from>
      <xdr:col>1</xdr:col>
      <xdr:colOff>338154</xdr:colOff>
      <xdr:row>120</xdr:row>
      <xdr:rowOff>171450</xdr:rowOff>
    </xdr:from>
    <xdr:to>
      <xdr:col>11</xdr:col>
      <xdr:colOff>135074</xdr:colOff>
      <xdr:row>134</xdr:row>
      <xdr:rowOff>57897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D8DB024-985E-4CD7-A35A-14C3924C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7754" y="23031450"/>
          <a:ext cx="5892920" cy="2553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909E-572F-477B-86AA-EE8A8325FAC8}">
  <dimension ref="B1:L62"/>
  <sheetViews>
    <sheetView workbookViewId="0">
      <selection activeCell="L31" sqref="L31"/>
    </sheetView>
  </sheetViews>
  <sheetFormatPr defaultRowHeight="15" x14ac:dyDescent="0.25"/>
  <cols>
    <col min="1" max="1" width="8.7109375" customWidth="1"/>
    <col min="6" max="6" width="10.140625" bestFit="1" customWidth="1"/>
    <col min="8" max="8" width="21.42578125" customWidth="1"/>
  </cols>
  <sheetData>
    <row r="1" spans="2:12" x14ac:dyDescent="0.25">
      <c r="E1" t="s">
        <v>8</v>
      </c>
    </row>
    <row r="3" spans="2:12" x14ac:dyDescent="0.25">
      <c r="H3" t="s">
        <v>6</v>
      </c>
    </row>
    <row r="4" spans="2:12" ht="15.75" thickBot="1" x14ac:dyDescent="0.3">
      <c r="H4" t="s">
        <v>7</v>
      </c>
    </row>
    <row r="5" spans="2:12" ht="15.75" thickBot="1" x14ac:dyDescent="0.3">
      <c r="B5" s="1" t="s">
        <v>0</v>
      </c>
      <c r="C5" s="2" t="s">
        <v>1</v>
      </c>
      <c r="D5" s="3" t="s">
        <v>2</v>
      </c>
      <c r="E5" s="2" t="s">
        <v>9</v>
      </c>
      <c r="F5" s="3" t="s">
        <v>10</v>
      </c>
      <c r="H5" s="4" t="s">
        <v>3</v>
      </c>
      <c r="I5" s="5" t="s">
        <v>4</v>
      </c>
      <c r="J5" s="6" t="s">
        <v>5</v>
      </c>
      <c r="L5" s="7"/>
    </row>
    <row r="6" spans="2:12" x14ac:dyDescent="0.25">
      <c r="B6" s="7">
        <v>0</v>
      </c>
      <c r="C6" s="7">
        <v>-2</v>
      </c>
      <c r="D6" s="7">
        <f>(1-C6-(4*C6^3)+(2*C6^5))</f>
        <v>-29</v>
      </c>
      <c r="E6" s="7">
        <v>1</v>
      </c>
      <c r="F6" s="7">
        <f>D6*E6</f>
        <v>-29</v>
      </c>
      <c r="H6">
        <f>B18</f>
        <v>12</v>
      </c>
      <c r="I6">
        <f>(C18-C6)/H6</f>
        <v>0.5</v>
      </c>
      <c r="J6">
        <f>F20*(I6/2)</f>
        <v>1150.875</v>
      </c>
      <c r="L6" s="7"/>
    </row>
    <row r="7" spans="2:12" x14ac:dyDescent="0.25">
      <c r="B7" s="7">
        <v>1</v>
      </c>
      <c r="C7" s="7">
        <f t="shared" ref="C7:C17" si="0">C6+$I$6</f>
        <v>-1.5</v>
      </c>
      <c r="D7" s="7">
        <f t="shared" ref="D7:D18" si="1">(1-C7-(4*C7^3)+(2*C7^5))</f>
        <v>0.8125</v>
      </c>
      <c r="E7" s="7">
        <v>2</v>
      </c>
      <c r="F7" s="7">
        <f t="shared" ref="F7:F18" si="2">D7*E7</f>
        <v>1.625</v>
      </c>
      <c r="L7" s="7"/>
    </row>
    <row r="8" spans="2:12" x14ac:dyDescent="0.25">
      <c r="B8" s="7">
        <v>2</v>
      </c>
      <c r="C8" s="7">
        <f t="shared" si="0"/>
        <v>-1</v>
      </c>
      <c r="D8" s="7">
        <f t="shared" si="1"/>
        <v>4</v>
      </c>
      <c r="E8" s="7">
        <v>2</v>
      </c>
      <c r="F8" s="7">
        <f t="shared" si="2"/>
        <v>8</v>
      </c>
      <c r="L8" s="7"/>
    </row>
    <row r="9" spans="2:12" x14ac:dyDescent="0.25">
      <c r="B9" s="7">
        <v>3</v>
      </c>
      <c r="C9" s="7">
        <f t="shared" si="0"/>
        <v>-0.5</v>
      </c>
      <c r="D9" s="7">
        <f t="shared" si="1"/>
        <v>1.9375</v>
      </c>
      <c r="E9" s="7">
        <v>2</v>
      </c>
      <c r="F9" s="7">
        <f t="shared" si="2"/>
        <v>3.875</v>
      </c>
    </row>
    <row r="10" spans="2:12" x14ac:dyDescent="0.25">
      <c r="B10" s="7">
        <v>4</v>
      </c>
      <c r="C10" s="7">
        <f t="shared" si="0"/>
        <v>0</v>
      </c>
      <c r="D10" s="7">
        <f t="shared" si="1"/>
        <v>1</v>
      </c>
      <c r="E10" s="7">
        <v>2</v>
      </c>
      <c r="F10" s="7">
        <f t="shared" si="2"/>
        <v>2</v>
      </c>
      <c r="H10" t="s">
        <v>12</v>
      </c>
      <c r="I10" s="8">
        <f>(ABS(J6-1140)/1140)</f>
        <v>9.5394736842105265E-3</v>
      </c>
    </row>
    <row r="11" spans="2:12" x14ac:dyDescent="0.25">
      <c r="B11" s="7">
        <v>5</v>
      </c>
      <c r="C11" s="7">
        <f t="shared" si="0"/>
        <v>0.5</v>
      </c>
      <c r="D11" s="7">
        <f t="shared" si="1"/>
        <v>6.25E-2</v>
      </c>
      <c r="E11" s="7">
        <v>2</v>
      </c>
      <c r="F11" s="7">
        <f t="shared" si="2"/>
        <v>0.125</v>
      </c>
      <c r="I11" s="9"/>
    </row>
    <row r="12" spans="2:12" x14ac:dyDescent="0.25">
      <c r="B12" s="7">
        <v>6</v>
      </c>
      <c r="C12" s="7">
        <f t="shared" si="0"/>
        <v>1</v>
      </c>
      <c r="D12" s="7">
        <f t="shared" si="1"/>
        <v>-2</v>
      </c>
      <c r="E12" s="7">
        <v>2</v>
      </c>
      <c r="F12" s="7">
        <f t="shared" si="2"/>
        <v>-4</v>
      </c>
    </row>
    <row r="13" spans="2:12" x14ac:dyDescent="0.25">
      <c r="B13" s="7">
        <v>7</v>
      </c>
      <c r="C13" s="7">
        <f t="shared" si="0"/>
        <v>1.5</v>
      </c>
      <c r="D13" s="7">
        <f t="shared" si="1"/>
        <v>1.1875</v>
      </c>
      <c r="E13" s="7">
        <v>2</v>
      </c>
      <c r="F13" s="7">
        <f t="shared" si="2"/>
        <v>2.375</v>
      </c>
    </row>
    <row r="14" spans="2:12" x14ac:dyDescent="0.25">
      <c r="B14" s="7">
        <v>8</v>
      </c>
      <c r="C14" s="7">
        <f t="shared" si="0"/>
        <v>2</v>
      </c>
      <c r="D14" s="7">
        <f t="shared" si="1"/>
        <v>31</v>
      </c>
      <c r="E14" s="7">
        <v>2</v>
      </c>
      <c r="F14" s="7">
        <f t="shared" si="2"/>
        <v>62</v>
      </c>
    </row>
    <row r="15" spans="2:12" x14ac:dyDescent="0.25">
      <c r="B15" s="7">
        <v>9</v>
      </c>
      <c r="C15" s="7">
        <f t="shared" si="0"/>
        <v>2.5</v>
      </c>
      <c r="D15" s="7">
        <f t="shared" si="1"/>
        <v>131.3125</v>
      </c>
      <c r="E15" s="7">
        <v>2</v>
      </c>
      <c r="F15" s="7">
        <f t="shared" si="2"/>
        <v>262.625</v>
      </c>
    </row>
    <row r="16" spans="2:12" x14ac:dyDescent="0.25">
      <c r="B16" s="7">
        <v>10</v>
      </c>
      <c r="C16" s="7">
        <f t="shared" si="0"/>
        <v>3</v>
      </c>
      <c r="D16" s="7">
        <f t="shared" si="1"/>
        <v>376</v>
      </c>
      <c r="E16" s="7">
        <v>2</v>
      </c>
      <c r="F16" s="7">
        <f t="shared" si="2"/>
        <v>752</v>
      </c>
    </row>
    <row r="17" spans="2:6" x14ac:dyDescent="0.25">
      <c r="B17" s="7">
        <v>11</v>
      </c>
      <c r="C17" s="7">
        <f t="shared" si="0"/>
        <v>3.5</v>
      </c>
      <c r="D17" s="7">
        <f t="shared" si="1"/>
        <v>876.4375</v>
      </c>
      <c r="E17" s="7">
        <v>2</v>
      </c>
      <c r="F17" s="7">
        <f t="shared" si="2"/>
        <v>1752.875</v>
      </c>
    </row>
    <row r="18" spans="2:6" x14ac:dyDescent="0.25">
      <c r="B18" s="7">
        <v>12</v>
      </c>
      <c r="C18" s="7">
        <v>4</v>
      </c>
      <c r="D18" s="7">
        <f t="shared" si="1"/>
        <v>1789</v>
      </c>
      <c r="E18" s="7">
        <v>1</v>
      </c>
      <c r="F18" s="7">
        <f t="shared" si="2"/>
        <v>1789</v>
      </c>
    </row>
    <row r="20" spans="2:6" x14ac:dyDescent="0.25">
      <c r="E20" t="s">
        <v>11</v>
      </c>
      <c r="F20" s="7">
        <f>SUM(F6:F18)</f>
        <v>4603.5</v>
      </c>
    </row>
    <row r="46" spans="2:10" ht="15.75" thickBot="1" x14ac:dyDescent="0.3">
      <c r="H46" t="s">
        <v>7</v>
      </c>
    </row>
    <row r="47" spans="2:10" ht="15.75" thickBot="1" x14ac:dyDescent="0.3">
      <c r="B47" s="1" t="s">
        <v>0</v>
      </c>
      <c r="C47" s="2" t="s">
        <v>1</v>
      </c>
      <c r="D47" s="3" t="s">
        <v>2</v>
      </c>
      <c r="E47" s="2" t="s">
        <v>9</v>
      </c>
      <c r="F47" s="3" t="s">
        <v>10</v>
      </c>
      <c r="H47" s="4" t="s">
        <v>3</v>
      </c>
      <c r="I47" s="5" t="s">
        <v>4</v>
      </c>
      <c r="J47" s="6" t="s">
        <v>5</v>
      </c>
    </row>
    <row r="48" spans="2:10" x14ac:dyDescent="0.25">
      <c r="B48" s="7">
        <v>0</v>
      </c>
      <c r="C48" s="7">
        <v>45</v>
      </c>
      <c r="D48" s="7">
        <v>1.2</v>
      </c>
      <c r="E48" s="7">
        <v>1</v>
      </c>
      <c r="F48" s="7">
        <f>D48*E48</f>
        <v>1.2</v>
      </c>
      <c r="H48">
        <v>7</v>
      </c>
      <c r="I48">
        <f>(C55-C48)/H48</f>
        <v>-5</v>
      </c>
      <c r="J48">
        <f>F62*(I48/2)</f>
        <v>-81.7</v>
      </c>
    </row>
    <row r="49" spans="2:9" x14ac:dyDescent="0.25">
      <c r="B49" s="7">
        <v>1</v>
      </c>
      <c r="C49" s="7">
        <f>C48+$I$48</f>
        <v>40</v>
      </c>
      <c r="D49" s="7">
        <v>1.3</v>
      </c>
      <c r="E49" s="7">
        <v>2</v>
      </c>
      <c r="F49" s="7">
        <f t="shared" ref="F49:F55" si="3">D49*E49</f>
        <v>2.6</v>
      </c>
    </row>
    <row r="50" spans="2:9" x14ac:dyDescent="0.25">
      <c r="B50" s="7">
        <v>2</v>
      </c>
      <c r="C50" s="7">
        <f t="shared" ref="C50:C54" si="4">C49+$I$48</f>
        <v>35</v>
      </c>
      <c r="D50" s="7">
        <v>1.54</v>
      </c>
      <c r="E50" s="7">
        <v>2</v>
      </c>
      <c r="F50" s="7">
        <f t="shared" si="3"/>
        <v>3.08</v>
      </c>
    </row>
    <row r="51" spans="2:9" x14ac:dyDescent="0.25">
      <c r="B51" s="7">
        <v>3</v>
      </c>
      <c r="C51" s="7">
        <f t="shared" si="4"/>
        <v>30</v>
      </c>
      <c r="D51" s="7">
        <v>1.8</v>
      </c>
      <c r="E51" s="7">
        <v>2</v>
      </c>
      <c r="F51" s="7">
        <f t="shared" si="3"/>
        <v>3.6</v>
      </c>
    </row>
    <row r="52" spans="2:9" x14ac:dyDescent="0.25">
      <c r="B52" s="7">
        <v>4</v>
      </c>
      <c r="C52" s="7">
        <f t="shared" si="4"/>
        <v>25</v>
      </c>
      <c r="D52" s="7">
        <v>2.1</v>
      </c>
      <c r="E52" s="7">
        <v>2</v>
      </c>
      <c r="F52" s="7">
        <f t="shared" si="3"/>
        <v>4.2</v>
      </c>
      <c r="I52" s="8"/>
    </row>
    <row r="53" spans="2:9" x14ac:dyDescent="0.25">
      <c r="B53" s="7">
        <v>5</v>
      </c>
      <c r="C53" s="7">
        <f t="shared" si="4"/>
        <v>20</v>
      </c>
      <c r="D53" s="7">
        <v>2.7</v>
      </c>
      <c r="E53" s="7">
        <v>2</v>
      </c>
      <c r="F53" s="7">
        <f t="shared" si="3"/>
        <v>5.4</v>
      </c>
      <c r="I53" s="9"/>
    </row>
    <row r="54" spans="2:9" x14ac:dyDescent="0.25">
      <c r="B54" s="7">
        <v>6</v>
      </c>
      <c r="C54" s="7">
        <f t="shared" si="4"/>
        <v>15</v>
      </c>
      <c r="D54" s="7">
        <v>3.6</v>
      </c>
      <c r="E54" s="7">
        <v>2</v>
      </c>
      <c r="F54" s="7">
        <f t="shared" si="3"/>
        <v>7.2</v>
      </c>
    </row>
    <row r="55" spans="2:9" x14ac:dyDescent="0.25">
      <c r="B55" s="7">
        <v>7</v>
      </c>
      <c r="C55" s="7">
        <v>10</v>
      </c>
      <c r="D55" s="7">
        <v>5.4</v>
      </c>
      <c r="E55" s="7">
        <v>1</v>
      </c>
      <c r="F55" s="7">
        <f t="shared" si="3"/>
        <v>5.4</v>
      </c>
    </row>
    <row r="56" spans="2:9" x14ac:dyDescent="0.25">
      <c r="B56" s="7"/>
      <c r="C56" s="7"/>
      <c r="D56" s="7"/>
      <c r="E56" s="7"/>
      <c r="F56" s="7"/>
    </row>
    <row r="57" spans="2:9" x14ac:dyDescent="0.25">
      <c r="B57" s="7"/>
      <c r="C57" s="7"/>
      <c r="D57" s="7"/>
      <c r="E57" s="7"/>
      <c r="F57" s="7"/>
    </row>
    <row r="58" spans="2:9" x14ac:dyDescent="0.25">
      <c r="B58" s="7"/>
      <c r="C58" s="7"/>
      <c r="D58" s="7"/>
      <c r="E58" s="7"/>
      <c r="F58" s="7"/>
    </row>
    <row r="59" spans="2:9" x14ac:dyDescent="0.25">
      <c r="B59" s="7"/>
      <c r="C59" s="7"/>
      <c r="D59" s="7"/>
      <c r="E59" s="7"/>
      <c r="F59" s="7"/>
    </row>
    <row r="60" spans="2:9" x14ac:dyDescent="0.25">
      <c r="B60" s="7"/>
      <c r="C60" s="7"/>
      <c r="D60" s="7"/>
      <c r="E60" s="7"/>
      <c r="F60" s="7"/>
    </row>
    <row r="62" spans="2:9" x14ac:dyDescent="0.25">
      <c r="E62" t="s">
        <v>11</v>
      </c>
      <c r="F62" s="7">
        <f>SUM(F48:F60)</f>
        <v>32.68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24DD-A62D-49EC-B025-0159881DFDD6}">
  <dimension ref="B3:P57"/>
  <sheetViews>
    <sheetView workbookViewId="0">
      <selection activeCell="G69" sqref="G69"/>
    </sheetView>
  </sheetViews>
  <sheetFormatPr defaultRowHeight="15" x14ac:dyDescent="0.25"/>
  <cols>
    <col min="6" max="6" width="15.42578125" customWidth="1"/>
    <col min="8" max="8" width="13.85546875" customWidth="1"/>
    <col min="10" max="10" width="12.42578125" customWidth="1"/>
  </cols>
  <sheetData>
    <row r="3" spans="2:12" x14ac:dyDescent="0.25">
      <c r="E3" t="s">
        <v>8</v>
      </c>
    </row>
    <row r="5" spans="2:12" x14ac:dyDescent="0.25">
      <c r="H5" t="s">
        <v>6</v>
      </c>
    </row>
    <row r="6" spans="2:12" ht="15.75" thickBot="1" x14ac:dyDescent="0.3">
      <c r="H6" t="s">
        <v>7</v>
      </c>
    </row>
    <row r="7" spans="2:12" ht="15.75" thickBot="1" x14ac:dyDescent="0.3">
      <c r="B7" s="1" t="s">
        <v>0</v>
      </c>
      <c r="C7" s="2" t="s">
        <v>1</v>
      </c>
      <c r="D7" s="3" t="s">
        <v>2</v>
      </c>
      <c r="E7" s="2" t="s">
        <v>9</v>
      </c>
      <c r="F7" s="3" t="s">
        <v>10</v>
      </c>
      <c r="H7" s="10" t="s">
        <v>13</v>
      </c>
      <c r="I7" s="10" t="s">
        <v>14</v>
      </c>
      <c r="J7" s="4" t="s">
        <v>3</v>
      </c>
      <c r="K7" s="5" t="s">
        <v>4</v>
      </c>
      <c r="L7" s="6" t="s">
        <v>5</v>
      </c>
    </row>
    <row r="8" spans="2:12" x14ac:dyDescent="0.25">
      <c r="B8" s="7">
        <v>0</v>
      </c>
      <c r="C8" s="7">
        <f>H8</f>
        <v>0</v>
      </c>
      <c r="D8" s="7">
        <f>C8^2 +1</f>
        <v>1</v>
      </c>
      <c r="E8" s="7">
        <v>1</v>
      </c>
      <c r="F8" s="7">
        <f>D8*E8</f>
        <v>1</v>
      </c>
      <c r="H8" s="7">
        <v>0</v>
      </c>
      <c r="I8" s="7">
        <v>6</v>
      </c>
      <c r="J8" s="7">
        <f>B14</f>
        <v>6</v>
      </c>
      <c r="K8" s="7">
        <f>(C14-C8)/J8</f>
        <v>1</v>
      </c>
      <c r="L8" s="7">
        <f>F22*(K8/3)</f>
        <v>78</v>
      </c>
    </row>
    <row r="9" spans="2:12" x14ac:dyDescent="0.25">
      <c r="B9" s="7">
        <v>1</v>
      </c>
      <c r="C9" s="7">
        <f>C8+$K$8</f>
        <v>1</v>
      </c>
      <c r="D9" s="7">
        <f t="shared" ref="D9:D14" si="0">C9^2 +1</f>
        <v>2</v>
      </c>
      <c r="E9" s="7">
        <f>IF(ISEVEN(B9),2,4)</f>
        <v>4</v>
      </c>
      <c r="F9" s="7">
        <f t="shared" ref="F9:F14" si="1">D9*E9</f>
        <v>8</v>
      </c>
    </row>
    <row r="10" spans="2:12" x14ac:dyDescent="0.25">
      <c r="B10" s="7">
        <v>2</v>
      </c>
      <c r="C10" s="7">
        <f>C9+$K$8</f>
        <v>2</v>
      </c>
      <c r="D10" s="7">
        <f t="shared" si="0"/>
        <v>5</v>
      </c>
      <c r="E10" s="7">
        <f t="shared" ref="E10:E13" si="2">IF(ISEVEN(B10),2,4)</f>
        <v>2</v>
      </c>
      <c r="F10" s="7">
        <f t="shared" si="1"/>
        <v>10</v>
      </c>
    </row>
    <row r="11" spans="2:12" x14ac:dyDescent="0.25">
      <c r="B11" s="7">
        <v>3</v>
      </c>
      <c r="C11" s="7">
        <f>C10+$K$8</f>
        <v>3</v>
      </c>
      <c r="D11" s="7">
        <f t="shared" si="0"/>
        <v>10</v>
      </c>
      <c r="E11" s="7">
        <f t="shared" si="2"/>
        <v>4</v>
      </c>
      <c r="F11" s="7">
        <f t="shared" si="1"/>
        <v>40</v>
      </c>
    </row>
    <row r="12" spans="2:12" x14ac:dyDescent="0.25">
      <c r="B12" s="7">
        <v>4</v>
      </c>
      <c r="C12" s="7">
        <f>C11+$K$8</f>
        <v>4</v>
      </c>
      <c r="D12" s="7">
        <f t="shared" si="0"/>
        <v>17</v>
      </c>
      <c r="E12" s="7">
        <f t="shared" si="2"/>
        <v>2</v>
      </c>
      <c r="F12" s="7">
        <f t="shared" si="1"/>
        <v>34</v>
      </c>
      <c r="I12" s="8"/>
    </row>
    <row r="13" spans="2:12" x14ac:dyDescent="0.25">
      <c r="B13" s="7">
        <v>5</v>
      </c>
      <c r="C13" s="7">
        <f>C12+$K$8</f>
        <v>5</v>
      </c>
      <c r="D13" s="7">
        <f t="shared" si="0"/>
        <v>26</v>
      </c>
      <c r="E13" s="7">
        <f t="shared" si="2"/>
        <v>4</v>
      </c>
      <c r="F13" s="7">
        <f t="shared" si="1"/>
        <v>104</v>
      </c>
      <c r="I13" s="9"/>
    </row>
    <row r="14" spans="2:12" x14ac:dyDescent="0.25">
      <c r="B14" s="7">
        <v>6</v>
      </c>
      <c r="C14" s="7">
        <f>I8</f>
        <v>6</v>
      </c>
      <c r="D14" s="7">
        <f t="shared" si="0"/>
        <v>37</v>
      </c>
      <c r="E14" s="7">
        <v>1</v>
      </c>
      <c r="F14" s="7">
        <f t="shared" si="1"/>
        <v>37</v>
      </c>
    </row>
    <row r="15" spans="2:12" x14ac:dyDescent="0.25">
      <c r="B15" s="7"/>
      <c r="C15" s="7"/>
      <c r="D15" s="7"/>
      <c r="E15" s="7"/>
      <c r="F15" s="7"/>
    </row>
    <row r="16" spans="2:12" x14ac:dyDescent="0.25">
      <c r="B16" s="7"/>
      <c r="C16" s="7"/>
      <c r="D16" s="7"/>
      <c r="E16" s="7"/>
      <c r="F16" s="7"/>
    </row>
    <row r="17" spans="2:6" x14ac:dyDescent="0.25">
      <c r="B17" s="7"/>
      <c r="C17" s="7"/>
      <c r="D17" s="7"/>
      <c r="E17" s="7"/>
      <c r="F17" s="7"/>
    </row>
    <row r="18" spans="2:6" x14ac:dyDescent="0.25">
      <c r="B18" s="7"/>
      <c r="C18" s="7"/>
      <c r="D18" s="7"/>
      <c r="E18" s="7"/>
      <c r="F18" s="7"/>
    </row>
    <row r="19" spans="2:6" x14ac:dyDescent="0.25">
      <c r="B19" s="7"/>
      <c r="C19" s="7"/>
      <c r="D19" s="7"/>
      <c r="E19" s="7"/>
      <c r="F19" s="7"/>
    </row>
    <row r="20" spans="2:6" x14ac:dyDescent="0.25">
      <c r="B20" s="7"/>
      <c r="C20" s="7"/>
      <c r="D20" s="7"/>
      <c r="E20" s="7"/>
      <c r="F20" s="7"/>
    </row>
    <row r="22" spans="2:6" x14ac:dyDescent="0.25">
      <c r="E22" t="s">
        <v>11</v>
      </c>
      <c r="F22" s="7">
        <f>SUM(F8:F14)</f>
        <v>234</v>
      </c>
    </row>
    <row r="41" spans="2:16" ht="15.75" thickBot="1" x14ac:dyDescent="0.3"/>
    <row r="42" spans="2:16" ht="15.75" thickBot="1" x14ac:dyDescent="0.3">
      <c r="B42" s="1" t="s">
        <v>0</v>
      </c>
      <c r="C42" s="2" t="s">
        <v>1</v>
      </c>
      <c r="D42" s="3" t="s">
        <v>2</v>
      </c>
      <c r="E42" s="2" t="s">
        <v>19</v>
      </c>
      <c r="F42" s="3" t="s">
        <v>20</v>
      </c>
      <c r="G42" s="2" t="s">
        <v>15</v>
      </c>
      <c r="H42" s="3" t="s">
        <v>16</v>
      </c>
      <c r="I42" s="2" t="s">
        <v>17</v>
      </c>
      <c r="J42" s="3" t="s">
        <v>18</v>
      </c>
      <c r="L42" s="10" t="s">
        <v>13</v>
      </c>
      <c r="M42" s="10" t="s">
        <v>14</v>
      </c>
      <c r="N42" s="4" t="s">
        <v>3</v>
      </c>
      <c r="O42" s="5" t="s">
        <v>4</v>
      </c>
      <c r="P42" s="6" t="s">
        <v>5</v>
      </c>
    </row>
    <row r="43" spans="2:16" x14ac:dyDescent="0.25">
      <c r="B43" s="7">
        <v>0</v>
      </c>
      <c r="C43" s="7">
        <f>L43</f>
        <v>0</v>
      </c>
      <c r="D43" s="7">
        <f>C43^2 +1</f>
        <v>1</v>
      </c>
      <c r="E43">
        <v>1</v>
      </c>
      <c r="F43">
        <f>D43*E43</f>
        <v>1</v>
      </c>
      <c r="G43" s="7">
        <v>1</v>
      </c>
      <c r="H43" s="7">
        <f t="shared" ref="H43:H49" si="3">D43*G43</f>
        <v>1</v>
      </c>
      <c r="I43">
        <v>1</v>
      </c>
      <c r="J43">
        <f>D43*I43</f>
        <v>1</v>
      </c>
      <c r="L43" s="7">
        <v>0</v>
      </c>
      <c r="M43" s="7">
        <v>6</v>
      </c>
      <c r="N43" s="7">
        <f>B49</f>
        <v>6</v>
      </c>
      <c r="O43" s="7">
        <f>(C49-C43)/N43</f>
        <v>1</v>
      </c>
      <c r="P43" s="7">
        <f>H50*(O43/3)</f>
        <v>78</v>
      </c>
    </row>
    <row r="44" spans="2:16" x14ac:dyDescent="0.25">
      <c r="B44" s="7">
        <v>1</v>
      </c>
      <c r="C44" s="7">
        <f>C43+$O$43</f>
        <v>1</v>
      </c>
      <c r="D44" s="7">
        <f t="shared" ref="D44:D49" si="4">C44^2 +1</f>
        <v>2</v>
      </c>
      <c r="E44">
        <v>2</v>
      </c>
      <c r="F44">
        <f t="shared" ref="F44:F49" si="5">D44*E44</f>
        <v>4</v>
      </c>
      <c r="G44" s="7">
        <f>IF(ISEVEN(B44),2,4)</f>
        <v>4</v>
      </c>
      <c r="H44" s="7">
        <f t="shared" si="3"/>
        <v>8</v>
      </c>
      <c r="I44">
        <v>3</v>
      </c>
      <c r="J44">
        <f t="shared" ref="J44:J49" si="6">D44*I44</f>
        <v>6</v>
      </c>
    </row>
    <row r="45" spans="2:16" x14ac:dyDescent="0.25">
      <c r="B45" s="7">
        <v>2</v>
      </c>
      <c r="C45" s="7">
        <f t="shared" ref="C45:C48" si="7">C44+$O$43</f>
        <v>2</v>
      </c>
      <c r="D45" s="7">
        <f t="shared" si="4"/>
        <v>5</v>
      </c>
      <c r="E45">
        <v>2</v>
      </c>
      <c r="F45">
        <f t="shared" si="5"/>
        <v>10</v>
      </c>
      <c r="G45" s="7">
        <f>IF(ISEVEN(B45),2,4)</f>
        <v>2</v>
      </c>
      <c r="H45" s="7">
        <f t="shared" si="3"/>
        <v>10</v>
      </c>
      <c r="I45">
        <v>3</v>
      </c>
      <c r="J45">
        <f t="shared" si="6"/>
        <v>15</v>
      </c>
    </row>
    <row r="46" spans="2:16" x14ac:dyDescent="0.25">
      <c r="B46" s="7">
        <v>3</v>
      </c>
      <c r="C46" s="7">
        <f t="shared" si="7"/>
        <v>3</v>
      </c>
      <c r="D46" s="7">
        <f t="shared" si="4"/>
        <v>10</v>
      </c>
      <c r="E46">
        <v>2</v>
      </c>
      <c r="F46">
        <f t="shared" si="5"/>
        <v>20</v>
      </c>
      <c r="G46" s="7">
        <f>IF(ISEVEN(B46),2,4)</f>
        <v>4</v>
      </c>
      <c r="H46" s="7">
        <f t="shared" si="3"/>
        <v>40</v>
      </c>
      <c r="I46">
        <v>2</v>
      </c>
      <c r="J46">
        <f t="shared" si="6"/>
        <v>20</v>
      </c>
    </row>
    <row r="47" spans="2:16" x14ac:dyDescent="0.25">
      <c r="B47" s="7">
        <v>4</v>
      </c>
      <c r="C47" s="7">
        <f t="shared" si="7"/>
        <v>4</v>
      </c>
      <c r="D47" s="7">
        <f t="shared" si="4"/>
        <v>17</v>
      </c>
      <c r="E47">
        <v>2</v>
      </c>
      <c r="F47">
        <f t="shared" si="5"/>
        <v>34</v>
      </c>
      <c r="G47" s="7">
        <f>IF(ISEVEN(B47),2,4)</f>
        <v>2</v>
      </c>
      <c r="H47" s="7">
        <f t="shared" si="3"/>
        <v>34</v>
      </c>
      <c r="I47" s="11">
        <v>3</v>
      </c>
      <c r="J47">
        <f t="shared" si="6"/>
        <v>51</v>
      </c>
    </row>
    <row r="48" spans="2:16" x14ac:dyDescent="0.25">
      <c r="B48" s="7">
        <v>5</v>
      </c>
      <c r="C48" s="7">
        <f t="shared" si="7"/>
        <v>5</v>
      </c>
      <c r="D48" s="7">
        <f t="shared" si="4"/>
        <v>26</v>
      </c>
      <c r="E48">
        <v>2</v>
      </c>
      <c r="F48">
        <f t="shared" si="5"/>
        <v>52</v>
      </c>
      <c r="G48" s="7">
        <f>IF(ISEVEN(B48),2,4)</f>
        <v>4</v>
      </c>
      <c r="H48" s="7">
        <f t="shared" si="3"/>
        <v>104</v>
      </c>
      <c r="I48">
        <v>3</v>
      </c>
      <c r="J48">
        <f t="shared" si="6"/>
        <v>78</v>
      </c>
    </row>
    <row r="49" spans="2:10" x14ac:dyDescent="0.25">
      <c r="B49" s="7">
        <v>6</v>
      </c>
      <c r="C49" s="7">
        <f>M43</f>
        <v>6</v>
      </c>
      <c r="D49" s="7">
        <f t="shared" si="4"/>
        <v>37</v>
      </c>
      <c r="E49">
        <v>1</v>
      </c>
      <c r="F49">
        <f t="shared" si="5"/>
        <v>37</v>
      </c>
      <c r="G49" s="7">
        <v>1</v>
      </c>
      <c r="H49" s="7">
        <f t="shared" si="3"/>
        <v>37</v>
      </c>
      <c r="I49">
        <v>1</v>
      </c>
      <c r="J49">
        <f t="shared" si="6"/>
        <v>37</v>
      </c>
    </row>
    <row r="50" spans="2:10" x14ac:dyDescent="0.25">
      <c r="B50" s="7"/>
      <c r="C50" s="7"/>
      <c r="D50" s="7"/>
      <c r="E50" s="7" t="s">
        <v>21</v>
      </c>
      <c r="F50" s="7">
        <f>SUM(F43:F49)</f>
        <v>158</v>
      </c>
      <c r="G50" t="s">
        <v>22</v>
      </c>
      <c r="H50" s="7">
        <f>SUM(H43:H49)</f>
        <v>234</v>
      </c>
      <c r="I50" t="s">
        <v>22</v>
      </c>
      <c r="J50">
        <f>SUM(J43:J49)</f>
        <v>208</v>
      </c>
    </row>
    <row r="51" spans="2:10" x14ac:dyDescent="0.25">
      <c r="B51" s="7"/>
      <c r="C51" s="7"/>
      <c r="D51" s="7"/>
      <c r="E51" s="7" t="s">
        <v>23</v>
      </c>
      <c r="F51" s="7">
        <f>(O43/2)*F50</f>
        <v>79</v>
      </c>
      <c r="G51" t="s">
        <v>24</v>
      </c>
      <c r="H51" s="7">
        <f>(O43/3)*H50</f>
        <v>78</v>
      </c>
      <c r="I51" t="s">
        <v>25</v>
      </c>
      <c r="J51">
        <f>((3*O43)/8)*J50</f>
        <v>78</v>
      </c>
    </row>
    <row r="52" spans="2:10" x14ac:dyDescent="0.25">
      <c r="B52" s="7"/>
      <c r="C52" s="7"/>
      <c r="D52" s="7"/>
      <c r="E52" s="7"/>
      <c r="F52" s="7"/>
    </row>
    <row r="53" spans="2:10" x14ac:dyDescent="0.25">
      <c r="B53" s="7"/>
      <c r="C53" s="7"/>
      <c r="D53" s="7"/>
      <c r="E53" s="7"/>
      <c r="F53" s="7"/>
    </row>
    <row r="54" spans="2:10" x14ac:dyDescent="0.25">
      <c r="B54" s="7"/>
      <c r="C54" s="7"/>
      <c r="D54" s="7"/>
      <c r="E54" s="7"/>
      <c r="F54" s="7"/>
    </row>
    <row r="55" spans="2:10" x14ac:dyDescent="0.25">
      <c r="B55" s="7"/>
      <c r="C55" s="7"/>
      <c r="D55" s="7"/>
      <c r="E55" s="7"/>
      <c r="F55" s="7"/>
    </row>
    <row r="57" spans="2:10" x14ac:dyDescent="0.25">
      <c r="F57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CC6A-8D9A-47DA-A6F0-AC1D01392DB9}">
  <dimension ref="C2:N24"/>
  <sheetViews>
    <sheetView tabSelected="1" workbookViewId="0">
      <selection activeCell="A5" sqref="A5:XFD5"/>
    </sheetView>
  </sheetViews>
  <sheetFormatPr defaultRowHeight="15" x14ac:dyDescent="0.25"/>
  <cols>
    <col min="4" max="4" width="11.85546875" bestFit="1" customWidth="1"/>
    <col min="5" max="5" width="11.5703125" bestFit="1" customWidth="1"/>
    <col min="7" max="7" width="9.85546875" bestFit="1" customWidth="1"/>
    <col min="8" max="8" width="8.7109375" customWidth="1"/>
  </cols>
  <sheetData>
    <row r="2" spans="3:14" x14ac:dyDescent="0.25">
      <c r="C2" s="37" t="s">
        <v>33</v>
      </c>
      <c r="D2" s="37"/>
      <c r="E2" s="37"/>
      <c r="F2" s="37"/>
      <c r="G2" s="37"/>
      <c r="H2" s="37"/>
    </row>
    <row r="4" spans="3:14" ht="15.75" thickBot="1" x14ac:dyDescent="0.3">
      <c r="D4" s="18" t="s">
        <v>28</v>
      </c>
      <c r="H4" s="7"/>
      <c r="I4" s="7"/>
    </row>
    <row r="5" spans="3:14" ht="15.75" thickBot="1" x14ac:dyDescent="0.3">
      <c r="C5" s="1" t="s">
        <v>0</v>
      </c>
      <c r="D5" s="2" t="s">
        <v>1</v>
      </c>
      <c r="E5" s="3" t="s">
        <v>26</v>
      </c>
      <c r="F5" s="12" t="s">
        <v>27</v>
      </c>
      <c r="G5" s="10" t="s">
        <v>32</v>
      </c>
      <c r="H5" s="7" t="s">
        <v>31</v>
      </c>
      <c r="K5" s="10" t="s">
        <v>13</v>
      </c>
      <c r="L5" s="10" t="s">
        <v>14</v>
      </c>
      <c r="M5" s="4" t="s">
        <v>3</v>
      </c>
      <c r="N5" s="13" t="s">
        <v>4</v>
      </c>
    </row>
    <row r="6" spans="3:14" x14ac:dyDescent="0.25">
      <c r="C6" s="7">
        <v>0</v>
      </c>
      <c r="D6" s="15">
        <f>K6</f>
        <v>0</v>
      </c>
      <c r="E6" s="15">
        <f>D6^2 +1</f>
        <v>1</v>
      </c>
      <c r="F6">
        <f>E6</f>
        <v>1</v>
      </c>
      <c r="G6">
        <f>2.75^D6</f>
        <v>1</v>
      </c>
      <c r="H6" s="7">
        <v>0</v>
      </c>
      <c r="K6" s="7">
        <v>0</v>
      </c>
      <c r="L6" s="7">
        <v>0.1</v>
      </c>
      <c r="M6" s="7">
        <v>10</v>
      </c>
      <c r="N6" s="7">
        <f>(L6-K6)/M6</f>
        <v>0.01</v>
      </c>
    </row>
    <row r="7" spans="3:14" x14ac:dyDescent="0.25">
      <c r="C7" s="7">
        <v>1</v>
      </c>
      <c r="D7" s="16">
        <f t="shared" ref="D7:D15" si="0">D6+$N$6</f>
        <v>0.01</v>
      </c>
      <c r="E7" s="14">
        <f t="shared" ref="E7:E16" si="1">E6+$N$6*F6</f>
        <v>1.01</v>
      </c>
      <c r="F7">
        <f t="shared" ref="F7:F15" si="2">E7</f>
        <v>1.01</v>
      </c>
      <c r="G7">
        <f>2.75^D7</f>
        <v>1.0101673489089085</v>
      </c>
      <c r="H7" s="23">
        <f>G7-E7</f>
        <v>1.673489089084601E-4</v>
      </c>
      <c r="K7" s="7"/>
      <c r="L7" s="11"/>
    </row>
    <row r="8" spans="3:14" x14ac:dyDescent="0.25">
      <c r="C8" s="7">
        <v>2</v>
      </c>
      <c r="D8" s="16">
        <f t="shared" si="0"/>
        <v>0.02</v>
      </c>
      <c r="E8" s="7">
        <f t="shared" si="1"/>
        <v>1.0201</v>
      </c>
      <c r="F8">
        <f t="shared" si="2"/>
        <v>1.0201</v>
      </c>
      <c r="G8">
        <f t="shared" ref="G8:G15" si="3">2.75^D8</f>
        <v>1.0204380728016522</v>
      </c>
      <c r="H8" s="23">
        <f t="shared" ref="H8:H16" si="4">G8-E8</f>
        <v>3.3807280165221165E-4</v>
      </c>
      <c r="K8" s="7"/>
    </row>
    <row r="9" spans="3:14" x14ac:dyDescent="0.25">
      <c r="C9" s="7">
        <v>3</v>
      </c>
      <c r="D9" s="16">
        <f t="shared" si="0"/>
        <v>0.03</v>
      </c>
      <c r="E9" s="7">
        <f t="shared" si="1"/>
        <v>1.0303009999999999</v>
      </c>
      <c r="F9">
        <f t="shared" si="2"/>
        <v>1.0303009999999999</v>
      </c>
      <c r="G9">
        <f t="shared" si="3"/>
        <v>1.0308132227277607</v>
      </c>
      <c r="H9" s="23">
        <f t="shared" si="4"/>
        <v>5.1222272776074718E-4</v>
      </c>
      <c r="K9" s="19" t="s">
        <v>29</v>
      </c>
    </row>
    <row r="10" spans="3:14" x14ac:dyDescent="0.25">
      <c r="C10" s="7">
        <v>4</v>
      </c>
      <c r="D10" s="16">
        <f t="shared" si="0"/>
        <v>0.04</v>
      </c>
      <c r="E10" s="7">
        <f t="shared" si="1"/>
        <v>1.0406040099999998</v>
      </c>
      <c r="F10">
        <f t="shared" si="2"/>
        <v>1.0406040099999998</v>
      </c>
      <c r="G10">
        <f t="shared" si="3"/>
        <v>1.0412938604231503</v>
      </c>
      <c r="H10" s="23">
        <f t="shared" si="4"/>
        <v>6.8985042315050649E-4</v>
      </c>
      <c r="K10" s="7" t="s">
        <v>30</v>
      </c>
      <c r="L10" s="11"/>
    </row>
    <row r="11" spans="3:14" x14ac:dyDescent="0.25">
      <c r="C11" s="7">
        <v>5</v>
      </c>
      <c r="D11" s="16">
        <f t="shared" si="0"/>
        <v>0.05</v>
      </c>
      <c r="E11" s="7">
        <f t="shared" si="1"/>
        <v>1.0510100500999997</v>
      </c>
      <c r="F11">
        <f t="shared" si="2"/>
        <v>1.0510100500999997</v>
      </c>
      <c r="G11">
        <f t="shared" si="3"/>
        <v>1.0518810584187765</v>
      </c>
      <c r="H11" s="23">
        <f t="shared" si="4"/>
        <v>8.710083187768447E-4</v>
      </c>
      <c r="I11" s="7"/>
    </row>
    <row r="12" spans="3:14" x14ac:dyDescent="0.25">
      <c r="C12" s="7">
        <v>6</v>
      </c>
      <c r="D12" s="16">
        <f t="shared" si="0"/>
        <v>6.0000000000000005E-2</v>
      </c>
      <c r="E12" s="7">
        <f t="shared" si="1"/>
        <v>1.0615201506009997</v>
      </c>
      <c r="F12">
        <f t="shared" si="2"/>
        <v>1.0615201506009997</v>
      </c>
      <c r="G12">
        <f t="shared" si="3"/>
        <v>1.062575900150392</v>
      </c>
      <c r="H12" s="23">
        <f t="shared" si="4"/>
        <v>1.0557495493923597E-3</v>
      </c>
      <c r="I12" s="7"/>
    </row>
    <row r="13" spans="3:14" x14ac:dyDescent="0.25">
      <c r="C13" s="7">
        <v>7</v>
      </c>
      <c r="D13" s="16">
        <f t="shared" si="0"/>
        <v>7.0000000000000007E-2</v>
      </c>
      <c r="E13" s="7">
        <f t="shared" si="1"/>
        <v>1.0721353521070096</v>
      </c>
      <c r="F13">
        <f t="shared" si="2"/>
        <v>1.0721353521070096</v>
      </c>
      <c r="G13">
        <f t="shared" si="3"/>
        <v>1.0733794800694185</v>
      </c>
      <c r="H13" s="23">
        <f t="shared" si="4"/>
        <v>1.2441279624089141E-3</v>
      </c>
      <c r="I13" s="7"/>
    </row>
    <row r="14" spans="3:14" x14ac:dyDescent="0.25">
      <c r="C14" s="7">
        <v>8</v>
      </c>
      <c r="D14" s="16">
        <f t="shared" si="0"/>
        <v>0.08</v>
      </c>
      <c r="E14" s="7">
        <f t="shared" si="1"/>
        <v>1.0828567056280798</v>
      </c>
      <c r="F14">
        <f t="shared" si="2"/>
        <v>1.0828567056280798</v>
      </c>
      <c r="G14">
        <f t="shared" si="3"/>
        <v>1.0842929037549471</v>
      </c>
      <c r="H14" s="23">
        <f t="shared" si="4"/>
        <v>1.4361981268673496E-3</v>
      </c>
      <c r="I14" s="7"/>
    </row>
    <row r="15" spans="3:14" x14ac:dyDescent="0.25">
      <c r="C15" s="7">
        <v>9</v>
      </c>
      <c r="D15" s="16">
        <f t="shared" si="0"/>
        <v>0.09</v>
      </c>
      <c r="E15" s="7">
        <f t="shared" si="1"/>
        <v>1.0936852726843607</v>
      </c>
      <c r="F15">
        <f t="shared" si="2"/>
        <v>1.0936852726843607</v>
      </c>
      <c r="G15">
        <f t="shared" si="3"/>
        <v>1.0953172880268771</v>
      </c>
      <c r="H15" s="23">
        <f t="shared" si="4"/>
        <v>1.6320153425164463E-3</v>
      </c>
    </row>
    <row r="16" spans="3:14" x14ac:dyDescent="0.25">
      <c r="C16" s="7">
        <v>10</v>
      </c>
      <c r="D16" s="16">
        <f>L6</f>
        <v>0.1</v>
      </c>
      <c r="E16" s="7">
        <f t="shared" si="1"/>
        <v>1.1046221254112043</v>
      </c>
      <c r="F16" s="17">
        <f t="shared" ref="F16" si="5">1-2*D16*E16</f>
        <v>0.77907557491775914</v>
      </c>
      <c r="G16">
        <f>2.75^D16</f>
        <v>1.1064537610602057</v>
      </c>
      <c r="H16" s="23">
        <f t="shared" si="4"/>
        <v>1.8316356490013508E-3</v>
      </c>
    </row>
    <row r="24" spans="12:12" x14ac:dyDescent="0.25">
      <c r="L24" s="18"/>
    </row>
  </sheetData>
  <mergeCells count="1">
    <mergeCell ref="C2:H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1E30-0F31-4061-A14E-6FEC22FC53DA}">
  <dimension ref="C4:P16"/>
  <sheetViews>
    <sheetView workbookViewId="0">
      <selection activeCell="F6" sqref="F6"/>
    </sheetView>
  </sheetViews>
  <sheetFormatPr defaultRowHeight="15" x14ac:dyDescent="0.25"/>
  <cols>
    <col min="5" max="5" width="19" bestFit="1" customWidth="1"/>
    <col min="8" max="8" width="10.28515625" bestFit="1" customWidth="1"/>
    <col min="10" max="10" width="12" bestFit="1" customWidth="1"/>
  </cols>
  <sheetData>
    <row r="4" spans="3:16" ht="15.75" thickBot="1" x14ac:dyDescent="0.3">
      <c r="D4" s="18" t="s">
        <v>28</v>
      </c>
      <c r="H4" s="7"/>
      <c r="I4" s="7"/>
    </row>
    <row r="5" spans="3:16" ht="15.75" thickBot="1" x14ac:dyDescent="0.3">
      <c r="C5" s="1" t="s">
        <v>0</v>
      </c>
      <c r="D5" s="2" t="s">
        <v>1</v>
      </c>
      <c r="E5" s="3" t="s">
        <v>26</v>
      </c>
      <c r="F5" s="12" t="s">
        <v>34</v>
      </c>
      <c r="G5" s="12" t="s">
        <v>35</v>
      </c>
      <c r="H5" s="12" t="s">
        <v>36</v>
      </c>
      <c r="I5" s="12" t="s">
        <v>37</v>
      </c>
      <c r="J5" s="10" t="s">
        <v>32</v>
      </c>
      <c r="K5" s="7" t="s">
        <v>31</v>
      </c>
      <c r="M5" s="10" t="s">
        <v>13</v>
      </c>
      <c r="N5" s="10" t="s">
        <v>14</v>
      </c>
      <c r="O5" s="4" t="s">
        <v>3</v>
      </c>
      <c r="P5" s="13" t="s">
        <v>4</v>
      </c>
    </row>
    <row r="6" spans="3:16" x14ac:dyDescent="0.25">
      <c r="C6" s="7">
        <v>0</v>
      </c>
      <c r="D6" s="15">
        <f>M6</f>
        <v>0</v>
      </c>
      <c r="E6" s="15">
        <f>D6^2 +1</f>
        <v>1</v>
      </c>
      <c r="F6" s="9">
        <f t="shared" ref="F6:F16" si="0">$P$6*E6</f>
        <v>0.1</v>
      </c>
      <c r="G6" s="20">
        <f>$P$6*(E6+F6/2)</f>
        <v>0.10500000000000001</v>
      </c>
      <c r="H6" s="21">
        <f>$P$6*(E6+G6/2)</f>
        <v>0.10525000000000001</v>
      </c>
      <c r="I6">
        <f>$P$6*(E6+H6)</f>
        <v>0.11052500000000001</v>
      </c>
      <c r="J6">
        <f>EXP(D6)</f>
        <v>1</v>
      </c>
      <c r="K6" s="7">
        <f>J6-E6</f>
        <v>0</v>
      </c>
      <c r="M6" s="7">
        <v>0</v>
      </c>
      <c r="N6" s="7">
        <v>1</v>
      </c>
      <c r="O6" s="7">
        <v>10</v>
      </c>
      <c r="P6" s="7">
        <f>(N6-M6)/O6</f>
        <v>0.1</v>
      </c>
    </row>
    <row r="7" spans="3:16" x14ac:dyDescent="0.25">
      <c r="C7" s="7">
        <v>1</v>
      </c>
      <c r="D7" s="16">
        <f t="shared" ref="D7:D15" si="1">D6+$P$6</f>
        <v>0.1</v>
      </c>
      <c r="E7" s="22">
        <f>E6+((1/6)*(F6+2*G6+2*H6+I6))</f>
        <v>1.1051708333333334</v>
      </c>
      <c r="F7" s="20">
        <f t="shared" si="0"/>
        <v>0.11051708333333335</v>
      </c>
      <c r="G7" s="20">
        <f>$P$6*(E7+F7/2)</f>
        <v>0.11604293750000001</v>
      </c>
      <c r="H7" s="21">
        <f t="shared" ref="H7:H15" si="2">$P$6*(E7+G7/2)</f>
        <v>0.11631923020833335</v>
      </c>
      <c r="I7">
        <f t="shared" ref="I7:I15" si="3">$P$6*(E7+H7)</f>
        <v>0.12214900635416669</v>
      </c>
      <c r="J7">
        <f t="shared" ref="J7:J16" si="4">EXP(D7)</f>
        <v>1.1051709180756477</v>
      </c>
      <c r="K7" s="7">
        <f t="shared" ref="K7:K16" si="5">J7-E7</f>
        <v>8.4742314276908814E-8</v>
      </c>
      <c r="M7" s="7"/>
      <c r="N7" s="11"/>
    </row>
    <row r="8" spans="3:16" x14ac:dyDescent="0.25">
      <c r="C8" s="7">
        <v>2</v>
      </c>
      <c r="D8" s="16">
        <f t="shared" si="1"/>
        <v>0.2</v>
      </c>
      <c r="E8" s="22">
        <f t="shared" ref="E8:E15" si="6">E7+((1/6)*(F7+2*G7+2*H7+I7))</f>
        <v>1.2214025708506946</v>
      </c>
      <c r="F8" s="20">
        <f t="shared" si="0"/>
        <v>0.12214025708506947</v>
      </c>
      <c r="G8" s="20">
        <f t="shared" ref="G8:G15" si="7">$P$6*(E8+F8/2)</f>
        <v>0.12824726993932295</v>
      </c>
      <c r="H8" s="21">
        <f t="shared" si="2"/>
        <v>0.12855262058203562</v>
      </c>
      <c r="I8">
        <f t="shared" si="3"/>
        <v>0.13499551914327301</v>
      </c>
      <c r="J8">
        <f t="shared" si="4"/>
        <v>1.2214027581601699</v>
      </c>
      <c r="K8" s="7">
        <f t="shared" si="5"/>
        <v>1.8730947526357511E-7</v>
      </c>
      <c r="M8" s="7"/>
    </row>
    <row r="9" spans="3:16" x14ac:dyDescent="0.25">
      <c r="C9" s="7">
        <v>3</v>
      </c>
      <c r="D9" s="16">
        <f t="shared" si="1"/>
        <v>0.30000000000000004</v>
      </c>
      <c r="E9" s="22">
        <f t="shared" si="6"/>
        <v>1.3498584970625378</v>
      </c>
      <c r="F9" s="20">
        <f t="shared" si="0"/>
        <v>0.1349858497062538</v>
      </c>
      <c r="G9" s="20">
        <f t="shared" si="7"/>
        <v>0.14173514219156647</v>
      </c>
      <c r="H9" s="21">
        <f t="shared" si="2"/>
        <v>0.14207260681583209</v>
      </c>
      <c r="I9">
        <f t="shared" si="3"/>
        <v>0.14919311038783697</v>
      </c>
      <c r="J9">
        <f t="shared" si="4"/>
        <v>1.3498588075760032</v>
      </c>
      <c r="K9" s="7">
        <f t="shared" si="5"/>
        <v>3.1051346538468749E-7</v>
      </c>
      <c r="M9" s="19" t="s">
        <v>29</v>
      </c>
    </row>
    <row r="10" spans="3:16" x14ac:dyDescent="0.25">
      <c r="C10" s="7">
        <v>4</v>
      </c>
      <c r="D10" s="16">
        <f t="shared" si="1"/>
        <v>0.4</v>
      </c>
      <c r="E10" s="22">
        <f t="shared" si="6"/>
        <v>1.4918242400806858</v>
      </c>
      <c r="F10" s="21">
        <f t="shared" si="0"/>
        <v>0.14918242400806858</v>
      </c>
      <c r="G10" s="20">
        <f t="shared" si="7"/>
        <v>0.15664154520847201</v>
      </c>
      <c r="H10" s="21">
        <f t="shared" si="2"/>
        <v>0.1570145012684922</v>
      </c>
      <c r="I10">
        <f t="shared" si="3"/>
        <v>0.16488387413491781</v>
      </c>
      <c r="J10">
        <f t="shared" si="4"/>
        <v>1.4918246976412703</v>
      </c>
      <c r="K10" s="7">
        <f t="shared" si="5"/>
        <v>4.5756058453250148E-7</v>
      </c>
      <c r="M10" s="7" t="s">
        <v>30</v>
      </c>
      <c r="N10" s="11"/>
    </row>
    <row r="11" spans="3:16" x14ac:dyDescent="0.25">
      <c r="C11" s="7">
        <v>5</v>
      </c>
      <c r="D11" s="16">
        <f t="shared" si="1"/>
        <v>0.5</v>
      </c>
      <c r="E11" s="22">
        <f t="shared" si="6"/>
        <v>1.6487206385968383</v>
      </c>
      <c r="F11" s="21">
        <f t="shared" si="0"/>
        <v>0.16487206385968384</v>
      </c>
      <c r="G11" s="20">
        <f t="shared" si="7"/>
        <v>0.17311566705266801</v>
      </c>
      <c r="H11" s="21">
        <f t="shared" si="2"/>
        <v>0.17352784721231723</v>
      </c>
      <c r="I11">
        <f t="shared" si="3"/>
        <v>0.18222484858091556</v>
      </c>
      <c r="J11">
        <f t="shared" si="4"/>
        <v>1.6487212707001282</v>
      </c>
      <c r="K11" s="7">
        <f t="shared" si="5"/>
        <v>6.3210328993257292E-7</v>
      </c>
    </row>
    <row r="12" spans="3:16" x14ac:dyDescent="0.25">
      <c r="C12" s="7">
        <v>6</v>
      </c>
      <c r="D12" s="16">
        <f t="shared" si="1"/>
        <v>0.6</v>
      </c>
      <c r="E12" s="22">
        <f t="shared" si="6"/>
        <v>1.8221179620919332</v>
      </c>
      <c r="F12" s="21">
        <f t="shared" si="0"/>
        <v>0.18221179620919334</v>
      </c>
      <c r="G12" s="20">
        <f t="shared" si="7"/>
        <v>0.19132238601965301</v>
      </c>
      <c r="H12" s="21">
        <f t="shared" si="2"/>
        <v>0.19177791551017598</v>
      </c>
      <c r="I12">
        <f t="shared" si="3"/>
        <v>0.2013895877602109</v>
      </c>
      <c r="J12">
        <f t="shared" si="4"/>
        <v>1.8221188003905089</v>
      </c>
      <c r="K12" s="7">
        <f t="shared" si="5"/>
        <v>8.3829857566719568E-7</v>
      </c>
    </row>
    <row r="13" spans="3:16" x14ac:dyDescent="0.25">
      <c r="C13" s="7">
        <v>7</v>
      </c>
      <c r="D13" s="16">
        <f t="shared" si="1"/>
        <v>0.7</v>
      </c>
      <c r="E13" s="22">
        <f t="shared" si="6"/>
        <v>2.0137516265967768</v>
      </c>
      <c r="F13" s="21">
        <f t="shared" si="0"/>
        <v>0.2013751626596777</v>
      </c>
      <c r="G13" s="20">
        <f t="shared" si="7"/>
        <v>0.21144392079266155</v>
      </c>
      <c r="H13" s="21">
        <f t="shared" si="2"/>
        <v>0.21194735869931078</v>
      </c>
      <c r="I13">
        <f t="shared" si="3"/>
        <v>0.22256989852960873</v>
      </c>
      <c r="J13">
        <f t="shared" si="4"/>
        <v>2.0137527074704766</v>
      </c>
      <c r="K13" s="7">
        <f t="shared" si="5"/>
        <v>1.0808736998768609E-6</v>
      </c>
    </row>
    <row r="14" spans="3:16" x14ac:dyDescent="0.25">
      <c r="C14" s="7">
        <v>8</v>
      </c>
      <c r="D14" s="16">
        <f t="shared" si="1"/>
        <v>0.79999999999999993</v>
      </c>
      <c r="E14" s="22">
        <f t="shared" si="6"/>
        <v>2.2255395632923154</v>
      </c>
      <c r="F14" s="21">
        <f t="shared" si="0"/>
        <v>0.22255395632923156</v>
      </c>
      <c r="G14" s="20">
        <f t="shared" si="7"/>
        <v>0.23368165414569311</v>
      </c>
      <c r="H14" s="21">
        <f t="shared" si="2"/>
        <v>0.23423803903651619</v>
      </c>
      <c r="I14">
        <f t="shared" si="3"/>
        <v>0.24597776023288317</v>
      </c>
      <c r="J14">
        <f t="shared" si="4"/>
        <v>2.2255409284924674</v>
      </c>
      <c r="K14" s="7">
        <f t="shared" si="5"/>
        <v>1.365200152037005E-6</v>
      </c>
    </row>
    <row r="15" spans="3:16" x14ac:dyDescent="0.25">
      <c r="C15" s="7">
        <v>9</v>
      </c>
      <c r="D15" s="16">
        <f t="shared" si="1"/>
        <v>0.89999999999999991</v>
      </c>
      <c r="E15" s="22">
        <f t="shared" si="6"/>
        <v>2.4596014137800708</v>
      </c>
      <c r="F15" s="21">
        <f t="shared" si="0"/>
        <v>0.24596014137800709</v>
      </c>
      <c r="G15" s="20">
        <f t="shared" si="7"/>
        <v>0.25825814844690748</v>
      </c>
      <c r="H15" s="21">
        <f t="shared" si="2"/>
        <v>0.2588730488003525</v>
      </c>
      <c r="I15">
        <f t="shared" si="3"/>
        <v>0.27184744625804236</v>
      </c>
      <c r="J15">
        <f t="shared" si="4"/>
        <v>2.4596031111569494</v>
      </c>
      <c r="K15" s="7">
        <f t="shared" si="5"/>
        <v>1.6973768786066046E-6</v>
      </c>
    </row>
    <row r="16" spans="3:16" x14ac:dyDescent="0.25">
      <c r="C16" s="7">
        <v>10</v>
      </c>
      <c r="D16" s="16">
        <f>N6</f>
        <v>1</v>
      </c>
      <c r="E16" s="22">
        <f>E15+((1/6)*(F15+(2*G15)+(2*H15)+I15))</f>
        <v>2.7182797441351658</v>
      </c>
      <c r="F16" s="17">
        <f t="shared" si="0"/>
        <v>0.27182797441351658</v>
      </c>
      <c r="G16" s="17">
        <f>$P$6*(E16+F16)</f>
        <v>0.29901077185486824</v>
      </c>
      <c r="H16" s="17">
        <f>$P$6*(F16+G16)</f>
        <v>5.7083874626838484E-2</v>
      </c>
      <c r="I16" s="17">
        <f>$P$6*(G16+H16)</f>
        <v>3.5609464648170677E-2</v>
      </c>
      <c r="J16">
        <f t="shared" si="4"/>
        <v>2.7182818284590451</v>
      </c>
      <c r="K16" s="7">
        <f t="shared" si="5"/>
        <v>2.0843238792700447E-6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027C-5E00-483C-A783-FF421EBCFE39}">
  <dimension ref="C4:T48"/>
  <sheetViews>
    <sheetView topLeftCell="A34" workbookViewId="0">
      <selection activeCell="C5" sqref="C5:T16"/>
    </sheetView>
  </sheetViews>
  <sheetFormatPr defaultRowHeight="15" x14ac:dyDescent="0.25"/>
  <cols>
    <col min="5" max="5" width="11.28515625" bestFit="1" customWidth="1"/>
    <col min="6" max="6" width="10.5703125" bestFit="1" customWidth="1"/>
  </cols>
  <sheetData>
    <row r="4" spans="3:20" ht="15.75" thickBot="1" x14ac:dyDescent="0.3"/>
    <row r="5" spans="3:20" ht="15.75" thickBot="1" x14ac:dyDescent="0.3">
      <c r="C5" s="1" t="s">
        <v>0</v>
      </c>
      <c r="D5" s="2" t="s">
        <v>1</v>
      </c>
      <c r="E5" s="3" t="s">
        <v>26</v>
      </c>
      <c r="F5" s="3" t="s">
        <v>38</v>
      </c>
      <c r="G5" s="12" t="s">
        <v>34</v>
      </c>
      <c r="H5" s="12" t="s">
        <v>35</v>
      </c>
      <c r="I5" s="12" t="s">
        <v>36</v>
      </c>
      <c r="J5" s="12" t="s">
        <v>37</v>
      </c>
      <c r="K5" s="12" t="s">
        <v>39</v>
      </c>
      <c r="L5" s="12" t="s">
        <v>40</v>
      </c>
      <c r="M5" s="12" t="s">
        <v>41</v>
      </c>
      <c r="N5" s="12" t="s">
        <v>42</v>
      </c>
      <c r="Q5" s="10" t="s">
        <v>13</v>
      </c>
      <c r="R5" s="10" t="s">
        <v>14</v>
      </c>
      <c r="S5" s="4" t="s">
        <v>3</v>
      </c>
      <c r="T5" s="13" t="s">
        <v>4</v>
      </c>
    </row>
    <row r="6" spans="3:20" x14ac:dyDescent="0.25">
      <c r="C6" s="7">
        <v>0</v>
      </c>
      <c r="D6" s="15">
        <f>Q6</f>
        <v>0</v>
      </c>
      <c r="E6" s="15">
        <v>-1</v>
      </c>
      <c r="F6" s="15">
        <v>0</v>
      </c>
      <c r="G6" s="9">
        <f>$T$6*F6</f>
        <v>0</v>
      </c>
      <c r="H6" s="20">
        <f>$T$6*(F6+K6/2)</f>
        <v>4.0000000000000008E-2</v>
      </c>
      <c r="I6" s="21">
        <f>$T$6*(F6+L6/2)</f>
        <v>5.2000000000000005E-2</v>
      </c>
      <c r="J6">
        <f>$T$6*(F6+M6)</f>
        <v>0.10960000000000002</v>
      </c>
      <c r="K6">
        <f>$T$6*(3*F6-2*E6)</f>
        <v>0.4</v>
      </c>
      <c r="L6">
        <f>$T$6*(3*(F6+(K6/2))-2*(E6+(G6/2)))</f>
        <v>0.52</v>
      </c>
      <c r="M6">
        <f>$T$6*(3*(F6+(L6/2))-2*(E6+(H6/2)))</f>
        <v>0.54800000000000004</v>
      </c>
      <c r="N6">
        <f>$T$6*(3*(F6+M6)-2*(E6+I6))</f>
        <v>0.70800000000000007</v>
      </c>
      <c r="Q6" s="7">
        <v>0</v>
      </c>
      <c r="R6" s="7">
        <v>2</v>
      </c>
      <c r="S6" s="7">
        <v>10</v>
      </c>
      <c r="T6" s="7">
        <f>(R6-Q6)/S6</f>
        <v>0.2</v>
      </c>
    </row>
    <row r="7" spans="3:20" x14ac:dyDescent="0.25">
      <c r="C7" s="7">
        <v>1</v>
      </c>
      <c r="D7" s="16">
        <f>D6+$T$6</f>
        <v>0.2</v>
      </c>
      <c r="E7" s="22">
        <f>E6+((1/6)*(G6+2*H6+2*I6+J6))</f>
        <v>-0.95106666666666662</v>
      </c>
      <c r="F7" s="24">
        <f>F6+((1/6)*(K6+2*L6+2*M6+N6))</f>
        <v>0.54066666666666663</v>
      </c>
      <c r="G7" s="9">
        <f t="shared" ref="G7:G15" si="0">$T$6*F7</f>
        <v>0.10813333333333333</v>
      </c>
      <c r="H7" s="20">
        <f t="shared" ref="H7:H15" si="1">$T$6*(F7+K7/2)</f>
        <v>0.178616</v>
      </c>
      <c r="I7" s="21">
        <f t="shared" ref="I7:I15" si="2">$T$6*(F7+L7/2)</f>
        <v>0.19759813333333334</v>
      </c>
      <c r="J7">
        <f t="shared" ref="J7:J15" si="3">$T$6*(F7+M7)</f>
        <v>0.29563290666666669</v>
      </c>
      <c r="K7">
        <f t="shared" ref="K7:K15" si="4">$T$6*(3*F7-2*E7)</f>
        <v>0.70482666666666671</v>
      </c>
      <c r="L7">
        <f t="shared" ref="L7:L15" si="5">$T$6*(3*(F7+(K7/2))-2*(E7+(G7/2)))</f>
        <v>0.894648</v>
      </c>
      <c r="M7">
        <f t="shared" ref="M7:M15" si="6">$T$6*(3*(F7+(L7/2))-2*(E7+(H7/2)))</f>
        <v>0.93749786666666679</v>
      </c>
      <c r="N7">
        <f t="shared" ref="N7:N15" si="7">$T$6*(3*(F7+M7)-2*(E7+I7))</f>
        <v>1.1882861333333334</v>
      </c>
    </row>
    <row r="8" spans="3:20" x14ac:dyDescent="0.25">
      <c r="C8" s="7">
        <v>2</v>
      </c>
      <c r="D8" s="16">
        <f t="shared" ref="D8:D16" si="8">D7+$T$6</f>
        <v>0.4</v>
      </c>
      <c r="E8" s="22">
        <f t="shared" ref="E8:E16" si="9">E7+((1/6)*(G7+2*H7+2*I7+J7))</f>
        <v>-0.75836758222222223</v>
      </c>
      <c r="F8" s="24">
        <f t="shared" ref="F8:F16" si="10">F7+((1/6)*(K7+2*L7+2*M7+N7))</f>
        <v>1.4669007555555555</v>
      </c>
      <c r="G8" s="9">
        <f t="shared" si="0"/>
        <v>0.2933801511111111</v>
      </c>
      <c r="H8" s="20">
        <f t="shared" si="1"/>
        <v>0.41172889973333338</v>
      </c>
      <c r="I8" s="21">
        <f t="shared" si="2"/>
        <v>0.44136592129777785</v>
      </c>
      <c r="J8">
        <f t="shared" si="3"/>
        <v>0.60239995447822237</v>
      </c>
      <c r="K8">
        <f t="shared" si="4"/>
        <v>1.1834874862222222</v>
      </c>
      <c r="L8">
        <f t="shared" si="5"/>
        <v>1.479857701866667</v>
      </c>
      <c r="M8">
        <f t="shared" si="6"/>
        <v>1.5450990168355558</v>
      </c>
      <c r="N8">
        <f t="shared" si="7"/>
        <v>1.9340005278044448</v>
      </c>
    </row>
    <row r="9" spans="3:20" x14ac:dyDescent="0.25">
      <c r="C9" s="7">
        <v>3</v>
      </c>
      <c r="D9" s="16">
        <f t="shared" si="8"/>
        <v>0.60000000000000009</v>
      </c>
      <c r="E9" s="22">
        <f t="shared" si="9"/>
        <v>-0.32470595761362953</v>
      </c>
      <c r="F9" s="24">
        <f t="shared" si="10"/>
        <v>2.9948009974607412</v>
      </c>
      <c r="G9" s="9">
        <f t="shared" si="0"/>
        <v>0.59896019949214829</v>
      </c>
      <c r="H9" s="20">
        <f t="shared" si="1"/>
        <v>0.79163649764433797</v>
      </c>
      <c r="I9" s="21">
        <f t="shared" si="2"/>
        <v>0.83746018310015191</v>
      </c>
      <c r="J9">
        <f t="shared" si="3"/>
        <v>1.0957473260555564</v>
      </c>
      <c r="K9">
        <f t="shared" si="4"/>
        <v>1.9267629815218967</v>
      </c>
      <c r="L9">
        <f t="shared" si="5"/>
        <v>2.384999836080036</v>
      </c>
      <c r="M9">
        <f t="shared" si="6"/>
        <v>2.4839356328170399</v>
      </c>
      <c r="N9">
        <f t="shared" si="7"/>
        <v>3.0821402879720607</v>
      </c>
    </row>
    <row r="10" spans="3:20" x14ac:dyDescent="0.25">
      <c r="C10" s="7">
        <v>4</v>
      </c>
      <c r="D10" s="16">
        <f t="shared" si="8"/>
        <v>0.8</v>
      </c>
      <c r="E10" s="22">
        <f t="shared" si="9"/>
        <v>0.50077752355915117</v>
      </c>
      <c r="F10" s="24">
        <f t="shared" si="10"/>
        <v>5.4525966986754266</v>
      </c>
      <c r="G10" s="9">
        <f t="shared" si="0"/>
        <v>1.0905193397350854</v>
      </c>
      <c r="H10" s="20">
        <f t="shared" si="1"/>
        <v>1.3976440407132449</v>
      </c>
      <c r="I10" s="21">
        <f t="shared" si="2"/>
        <v>1.4679710642119912</v>
      </c>
      <c r="J10">
        <f t="shared" si="3"/>
        <v>1.8753340147490183</v>
      </c>
      <c r="K10">
        <f t="shared" si="4"/>
        <v>3.0712470097815956</v>
      </c>
      <c r="L10">
        <f t="shared" si="5"/>
        <v>3.7745172447690574</v>
      </c>
      <c r="M10">
        <f t="shared" si="6"/>
        <v>3.9240733750696637</v>
      </c>
      <c r="N10">
        <f t="shared" si="7"/>
        <v>4.8385026091385983</v>
      </c>
      <c r="Q10" s="38" t="s">
        <v>43</v>
      </c>
      <c r="R10" s="38"/>
      <c r="S10" s="38"/>
      <c r="T10" s="38"/>
    </row>
    <row r="11" spans="3:20" x14ac:dyDescent="0.25">
      <c r="C11" s="7">
        <v>5</v>
      </c>
      <c r="D11" s="16">
        <f t="shared" si="8"/>
        <v>1</v>
      </c>
      <c r="E11" s="22">
        <f t="shared" si="9"/>
        <v>1.9502914509482472</v>
      </c>
      <c r="F11" s="24">
        <f t="shared" si="10"/>
        <v>9.3370851751083652</v>
      </c>
      <c r="G11" s="9">
        <f t="shared" si="0"/>
        <v>1.8674170350216732</v>
      </c>
      <c r="H11" s="20">
        <f t="shared" si="1"/>
        <v>2.3496304874902449</v>
      </c>
      <c r="I11" s="21">
        <f t="shared" si="2"/>
        <v>2.4569461825303835</v>
      </c>
      <c r="J11">
        <f t="shared" si="3"/>
        <v>3.0915762089644336</v>
      </c>
      <c r="K11">
        <f t="shared" si="4"/>
        <v>4.8221345246857208</v>
      </c>
      <c r="L11">
        <f t="shared" si="5"/>
        <v>5.8952914750871024</v>
      </c>
      <c r="M11">
        <f t="shared" si="6"/>
        <v>6.1207958697138025</v>
      </c>
      <c r="N11">
        <f t="shared" si="7"/>
        <v>7.5118335735018498</v>
      </c>
      <c r="Q11" s="38" t="s">
        <v>44</v>
      </c>
      <c r="R11" s="38"/>
      <c r="S11" s="38"/>
      <c r="T11" s="38"/>
    </row>
    <row r="12" spans="3:20" x14ac:dyDescent="0.25">
      <c r="C12" s="7">
        <v>6</v>
      </c>
      <c r="D12" s="16">
        <f t="shared" si="8"/>
        <v>1.2</v>
      </c>
      <c r="E12" s="22">
        <f t="shared" si="9"/>
        <v>4.3789825482861406</v>
      </c>
      <c r="F12" s="24">
        <f t="shared" si="10"/>
        <v>15.398108973073263</v>
      </c>
      <c r="G12" s="9">
        <f t="shared" si="0"/>
        <v>3.0796217946146527</v>
      </c>
      <c r="H12" s="20">
        <f t="shared" si="1"/>
        <v>3.8283490310676029</v>
      </c>
      <c r="I12" s="21">
        <f t="shared" si="2"/>
        <v>3.9913747661111949</v>
      </c>
      <c r="J12">
        <f t="shared" si="3"/>
        <v>4.9709940891757745</v>
      </c>
      <c r="K12">
        <f t="shared" si="4"/>
        <v>7.4872723645295025</v>
      </c>
      <c r="L12">
        <f t="shared" si="5"/>
        <v>9.1175297149654231</v>
      </c>
      <c r="M12">
        <f t="shared" si="6"/>
        <v>9.456861472805608</v>
      </c>
      <c r="N12">
        <f t="shared" si="7"/>
        <v>11.564839341768387</v>
      </c>
    </row>
    <row r="13" spans="3:20" x14ac:dyDescent="0.25">
      <c r="C13" s="7">
        <v>7</v>
      </c>
      <c r="D13" s="16">
        <f t="shared" si="8"/>
        <v>1.4</v>
      </c>
      <c r="E13" s="22">
        <f t="shared" si="9"/>
        <v>8.3273264613108111</v>
      </c>
      <c r="F13" s="24">
        <f t="shared" si="10"/>
        <v>24.764924653379921</v>
      </c>
      <c r="G13" s="9">
        <f t="shared" si="0"/>
        <v>4.952984930675985</v>
      </c>
      <c r="H13" s="20">
        <f t="shared" si="1"/>
        <v>6.105787351426347</v>
      </c>
      <c r="I13" s="21">
        <f t="shared" si="2"/>
        <v>6.3525683790379368</v>
      </c>
      <c r="J13">
        <f t="shared" si="3"/>
        <v>7.8541083471368269</v>
      </c>
      <c r="K13">
        <f t="shared" si="4"/>
        <v>11.528024207503629</v>
      </c>
      <c r="L13">
        <f t="shared" si="5"/>
        <v>13.995834483619522</v>
      </c>
      <c r="M13">
        <f t="shared" si="6"/>
        <v>14.505617082304216</v>
      </c>
      <c r="N13">
        <f t="shared" si="7"/>
        <v>17.69036710527098</v>
      </c>
    </row>
    <row r="14" spans="3:20" x14ac:dyDescent="0.25">
      <c r="C14" s="7">
        <v>8</v>
      </c>
      <c r="D14" s="16">
        <f t="shared" si="8"/>
        <v>1.5999999999999999</v>
      </c>
      <c r="E14" s="22">
        <f t="shared" si="9"/>
        <v>14.614627251101041</v>
      </c>
      <c r="F14" s="24">
        <f t="shared" si="10"/>
        <v>39.13514039415027</v>
      </c>
      <c r="G14" s="9">
        <f t="shared" si="0"/>
        <v>7.8270280788300539</v>
      </c>
      <c r="H14" s="20">
        <f t="shared" si="1"/>
        <v>9.5905514124350297</v>
      </c>
      <c r="I14" s="21">
        <f t="shared" si="2"/>
        <v>9.9630678509399218</v>
      </c>
      <c r="J14">
        <f t="shared" si="3"/>
        <v>12.252076552808521</v>
      </c>
      <c r="K14">
        <f t="shared" si="4"/>
        <v>17.635233336049748</v>
      </c>
      <c r="L14">
        <f t="shared" si="5"/>
        <v>21.360397721098661</v>
      </c>
      <c r="M14">
        <f t="shared" si="6"/>
        <v>22.125242369892337</v>
      </c>
      <c r="N14">
        <f t="shared" si="7"/>
        <v>26.925151617609174</v>
      </c>
    </row>
    <row r="15" spans="3:20" x14ac:dyDescent="0.25">
      <c r="C15" s="7">
        <v>9</v>
      </c>
      <c r="D15" s="16">
        <f t="shared" si="8"/>
        <v>1.7999999999999998</v>
      </c>
      <c r="E15" s="22">
        <f t="shared" si="9"/>
        <v>24.47901777749912</v>
      </c>
      <c r="F15" s="24">
        <f t="shared" si="10"/>
        <v>61.057084583423752</v>
      </c>
      <c r="G15" s="9">
        <f t="shared" si="0"/>
        <v>12.211416916684751</v>
      </c>
      <c r="H15" s="20">
        <f t="shared" si="1"/>
        <v>14.89568128059021</v>
      </c>
      <c r="I15" s="21">
        <f t="shared" si="2"/>
        <v>15.456732251428154</v>
      </c>
      <c r="J15">
        <f t="shared" si="3"/>
        <v>18.931307594118106</v>
      </c>
      <c r="K15">
        <f t="shared" si="4"/>
        <v>26.842643639054604</v>
      </c>
      <c r="L15">
        <f t="shared" si="5"/>
        <v>32.453153347434032</v>
      </c>
      <c r="M15">
        <f t="shared" si="6"/>
        <v>33.599453387166776</v>
      </c>
      <c r="N15">
        <f t="shared" si="7"/>
        <v>40.819622770783411</v>
      </c>
    </row>
    <row r="16" spans="3:20" x14ac:dyDescent="0.25">
      <c r="C16" s="7">
        <v>10</v>
      </c>
      <c r="D16" s="25">
        <f t="shared" si="8"/>
        <v>1.9999999999999998</v>
      </c>
      <c r="E16" s="26">
        <f t="shared" si="9"/>
        <v>39.786943039972385</v>
      </c>
      <c r="F16" s="24">
        <f t="shared" si="10"/>
        <v>94.351664563263682</v>
      </c>
      <c r="G16" s="17">
        <f t="shared" ref="G16" si="11">$P$6*F16</f>
        <v>0</v>
      </c>
      <c r="H16" s="17">
        <f>$P$6*(F16+G16)</f>
        <v>0</v>
      </c>
      <c r="I16" s="17">
        <f>$P$6*(G16+H16)</f>
        <v>0</v>
      </c>
      <c r="J16" s="17">
        <f>$P$6*(H16+I16)</f>
        <v>0</v>
      </c>
      <c r="K16" s="17">
        <f t="shared" ref="K16" si="12">$P$6*J16</f>
        <v>0</v>
      </c>
      <c r="L16" s="17">
        <f>$P$6*(J16+K16)</f>
        <v>0</v>
      </c>
      <c r="M16" s="17">
        <f>$P$6*(K16+L16)</f>
        <v>0</v>
      </c>
      <c r="N16" s="17">
        <f>$P$6*(L16+M16)</f>
        <v>0</v>
      </c>
    </row>
    <row r="36" spans="3:20" ht="15.75" thickBot="1" x14ac:dyDescent="0.3"/>
    <row r="37" spans="3:20" ht="15.75" thickBot="1" x14ac:dyDescent="0.3">
      <c r="C37" s="1" t="s">
        <v>0</v>
      </c>
      <c r="D37" s="2" t="s">
        <v>1</v>
      </c>
      <c r="E37" s="3" t="s">
        <v>26</v>
      </c>
      <c r="F37" s="3" t="s">
        <v>38</v>
      </c>
      <c r="G37" s="12" t="s">
        <v>34</v>
      </c>
      <c r="H37" s="12" t="s">
        <v>35</v>
      </c>
      <c r="I37" s="12" t="s">
        <v>36</v>
      </c>
      <c r="J37" s="12" t="s">
        <v>37</v>
      </c>
      <c r="K37" s="12" t="s">
        <v>39</v>
      </c>
      <c r="L37" s="12" t="s">
        <v>40</v>
      </c>
      <c r="M37" s="12" t="s">
        <v>41</v>
      </c>
      <c r="N37" s="12" t="s">
        <v>42</v>
      </c>
      <c r="Q37" s="10" t="s">
        <v>13</v>
      </c>
      <c r="R37" s="10" t="s">
        <v>14</v>
      </c>
      <c r="S37" s="4" t="s">
        <v>3</v>
      </c>
      <c r="T37" s="13" t="s">
        <v>4</v>
      </c>
    </row>
    <row r="38" spans="3:20" x14ac:dyDescent="0.25">
      <c r="C38" s="7">
        <v>0</v>
      </c>
      <c r="D38" s="15">
        <f>Q38</f>
        <v>0</v>
      </c>
      <c r="E38" s="15">
        <v>-1</v>
      </c>
      <c r="F38" s="15">
        <v>0</v>
      </c>
      <c r="G38" s="9">
        <f>$T$38*F38</f>
        <v>0</v>
      </c>
      <c r="H38" s="20">
        <f>$T$38*(F38+K38/2)</f>
        <v>4.0000000000000008E-2</v>
      </c>
      <c r="I38" s="21">
        <f>$T$38*(F38+L38/2)</f>
        <v>5.2000000000000005E-2</v>
      </c>
      <c r="J38">
        <f>$T$38*(F38+M38)</f>
        <v>0.10960000000000002</v>
      </c>
      <c r="K38">
        <f>$T$38*(3*F38-2*E38)</f>
        <v>0.4</v>
      </c>
      <c r="L38">
        <f>$T$38*(3*(F38+(K38/2))-2*(E38+(G38/2)))</f>
        <v>0.52</v>
      </c>
      <c r="M38">
        <f>$T$38*(3*(F38+(L38/2))-2*(E38+(H38/2)))</f>
        <v>0.54800000000000004</v>
      </c>
      <c r="N38">
        <f>$T$38*(3*(F38+M38)-2*(E38+I38))</f>
        <v>0.70800000000000007</v>
      </c>
      <c r="Q38" s="7">
        <v>0</v>
      </c>
      <c r="R38" s="7">
        <v>2</v>
      </c>
      <c r="S38" s="7">
        <v>10</v>
      </c>
      <c r="T38" s="7">
        <f>(R38-Q38)/S38</f>
        <v>0.2</v>
      </c>
    </row>
    <row r="39" spans="3:20" x14ac:dyDescent="0.25">
      <c r="C39" s="7">
        <v>1</v>
      </c>
      <c r="D39" s="16">
        <f>D38+$T$38</f>
        <v>0.2</v>
      </c>
      <c r="E39" s="22">
        <f>E38+((1/6)*(G38+2*H38+2*I38+J38))</f>
        <v>-0.95106666666666662</v>
      </c>
      <c r="F39" s="24">
        <f>F38+((1/6)*(K38+2*L38+2*M38+N38))</f>
        <v>0.54066666666666663</v>
      </c>
      <c r="G39" s="9">
        <f t="shared" ref="G39:G47" si="13">$T$38*F39</f>
        <v>0.10813333333333333</v>
      </c>
      <c r="H39" s="20">
        <f t="shared" ref="H39:H47" si="14">$T$38*(F39+K39/2)</f>
        <v>0.178616</v>
      </c>
      <c r="I39" s="21">
        <f t="shared" ref="I39:I47" si="15">$T$38*(F39+L39/2)</f>
        <v>0.19759813333333334</v>
      </c>
      <c r="J39">
        <f t="shared" ref="J39:J47" si="16">$T$38*(F39+M39)</f>
        <v>0.29563290666666669</v>
      </c>
      <c r="K39">
        <f t="shared" ref="K39:K47" si="17">$T$38*(3*F39-2*E39)</f>
        <v>0.70482666666666671</v>
      </c>
      <c r="L39">
        <f t="shared" ref="L39:L47" si="18">$T$38*(3*(F39+(K39/2))-2*(E39+(G39/2)))</f>
        <v>0.894648</v>
      </c>
      <c r="M39">
        <f t="shared" ref="M39:M47" si="19">$T$38*(3*(F39+(L39/2))-2*(E39+(H39/2)))</f>
        <v>0.93749786666666679</v>
      </c>
      <c r="N39">
        <f t="shared" ref="N39:N47" si="20">$T$38*(3*(F39+M39)-2*(E39+I39))</f>
        <v>1.1882861333333334</v>
      </c>
    </row>
    <row r="40" spans="3:20" x14ac:dyDescent="0.25">
      <c r="C40" s="7">
        <v>2</v>
      </c>
      <c r="D40" s="16">
        <f t="shared" ref="D40:D48" si="21">D39+$T$38</f>
        <v>0.4</v>
      </c>
      <c r="E40" s="22">
        <f t="shared" ref="E40:E48" si="22">E39+((1/6)*(G39+2*H39+2*I39+J39))</f>
        <v>-0.75836758222222223</v>
      </c>
      <c r="F40" s="24">
        <f t="shared" ref="F40:F48" si="23">F39+((1/6)*(K39+2*L39+2*M39+N39))</f>
        <v>1.4669007555555555</v>
      </c>
      <c r="G40" s="9">
        <f t="shared" si="13"/>
        <v>0.2933801511111111</v>
      </c>
      <c r="H40" s="20">
        <f t="shared" si="14"/>
        <v>0.41172889973333338</v>
      </c>
      <c r="I40" s="21">
        <f t="shared" si="15"/>
        <v>0.44136592129777785</v>
      </c>
      <c r="J40">
        <f t="shared" si="16"/>
        <v>0.60239995447822237</v>
      </c>
      <c r="K40">
        <f t="shared" si="17"/>
        <v>1.1834874862222222</v>
      </c>
      <c r="L40">
        <f t="shared" si="18"/>
        <v>1.479857701866667</v>
      </c>
      <c r="M40">
        <f t="shared" si="19"/>
        <v>1.5450990168355558</v>
      </c>
      <c r="N40">
        <f t="shared" si="20"/>
        <v>1.9340005278044448</v>
      </c>
    </row>
    <row r="41" spans="3:20" x14ac:dyDescent="0.25">
      <c r="C41" s="7">
        <v>3</v>
      </c>
      <c r="D41" s="16">
        <f t="shared" si="21"/>
        <v>0.60000000000000009</v>
      </c>
      <c r="E41" s="22">
        <f t="shared" si="22"/>
        <v>-0.32470595761362953</v>
      </c>
      <c r="F41" s="24">
        <f t="shared" si="23"/>
        <v>2.9948009974607412</v>
      </c>
      <c r="G41" s="9">
        <f t="shared" si="13"/>
        <v>0.59896019949214829</v>
      </c>
      <c r="H41" s="20">
        <f t="shared" si="14"/>
        <v>0.79163649764433797</v>
      </c>
      <c r="I41" s="21">
        <f t="shared" si="15"/>
        <v>0.83746018310015191</v>
      </c>
      <c r="J41">
        <f t="shared" si="16"/>
        <v>1.0957473260555564</v>
      </c>
      <c r="K41">
        <f t="shared" si="17"/>
        <v>1.9267629815218967</v>
      </c>
      <c r="L41">
        <f t="shared" si="18"/>
        <v>2.384999836080036</v>
      </c>
      <c r="M41">
        <f t="shared" si="19"/>
        <v>2.4839356328170399</v>
      </c>
      <c r="N41">
        <f t="shared" si="20"/>
        <v>3.0821402879720607</v>
      </c>
    </row>
    <row r="42" spans="3:20" x14ac:dyDescent="0.25">
      <c r="C42" s="7">
        <v>4</v>
      </c>
      <c r="D42" s="16">
        <f t="shared" si="21"/>
        <v>0.8</v>
      </c>
      <c r="E42" s="22">
        <f t="shared" si="22"/>
        <v>0.50077752355915117</v>
      </c>
      <c r="F42" s="24">
        <f t="shared" si="23"/>
        <v>5.4525966986754266</v>
      </c>
      <c r="G42" s="9">
        <f t="shared" si="13"/>
        <v>1.0905193397350854</v>
      </c>
      <c r="H42" s="20">
        <f t="shared" si="14"/>
        <v>1.3976440407132449</v>
      </c>
      <c r="I42" s="21">
        <f t="shared" si="15"/>
        <v>1.4679710642119912</v>
      </c>
      <c r="J42">
        <f t="shared" si="16"/>
        <v>1.8753340147490183</v>
      </c>
      <c r="K42">
        <f t="shared" si="17"/>
        <v>3.0712470097815956</v>
      </c>
      <c r="L42">
        <f t="shared" si="18"/>
        <v>3.7745172447690574</v>
      </c>
      <c r="M42">
        <f t="shared" si="19"/>
        <v>3.9240733750696637</v>
      </c>
      <c r="N42">
        <f t="shared" si="20"/>
        <v>4.8385026091385983</v>
      </c>
      <c r="Q42" s="38" t="s">
        <v>43</v>
      </c>
      <c r="R42" s="38"/>
      <c r="S42" s="38"/>
      <c r="T42" s="38"/>
    </row>
    <row r="43" spans="3:20" x14ac:dyDescent="0.25">
      <c r="C43" s="7">
        <v>5</v>
      </c>
      <c r="D43" s="16">
        <f t="shared" si="21"/>
        <v>1</v>
      </c>
      <c r="E43" s="22">
        <f t="shared" si="22"/>
        <v>1.9502914509482472</v>
      </c>
      <c r="F43" s="24">
        <f t="shared" si="23"/>
        <v>9.3370851751083652</v>
      </c>
      <c r="G43" s="9">
        <f t="shared" si="13"/>
        <v>1.8674170350216732</v>
      </c>
      <c r="H43" s="20">
        <f t="shared" si="14"/>
        <v>2.3496304874902449</v>
      </c>
      <c r="I43" s="21">
        <f t="shared" si="15"/>
        <v>2.4569461825303835</v>
      </c>
      <c r="J43">
        <f t="shared" si="16"/>
        <v>3.0915762089644336</v>
      </c>
      <c r="K43">
        <f t="shared" si="17"/>
        <v>4.8221345246857208</v>
      </c>
      <c r="L43">
        <f t="shared" si="18"/>
        <v>5.8952914750871024</v>
      </c>
      <c r="M43">
        <f t="shared" si="19"/>
        <v>6.1207958697138025</v>
      </c>
      <c r="N43">
        <f t="shared" si="20"/>
        <v>7.5118335735018498</v>
      </c>
      <c r="Q43" s="38" t="s">
        <v>44</v>
      </c>
      <c r="R43" s="38"/>
      <c r="S43" s="38"/>
      <c r="T43" s="38"/>
    </row>
    <row r="44" spans="3:20" x14ac:dyDescent="0.25">
      <c r="C44" s="7">
        <v>6</v>
      </c>
      <c r="D44" s="16">
        <f t="shared" si="21"/>
        <v>1.2</v>
      </c>
      <c r="E44" s="22">
        <f t="shared" si="22"/>
        <v>4.3789825482861406</v>
      </c>
      <c r="F44" s="24">
        <f t="shared" si="23"/>
        <v>15.398108973073263</v>
      </c>
      <c r="G44" s="9">
        <f t="shared" si="13"/>
        <v>3.0796217946146527</v>
      </c>
      <c r="H44" s="20">
        <f t="shared" si="14"/>
        <v>3.8283490310676029</v>
      </c>
      <c r="I44" s="21">
        <f t="shared" si="15"/>
        <v>3.9913747661111949</v>
      </c>
      <c r="J44">
        <f t="shared" si="16"/>
        <v>4.9709940891757745</v>
      </c>
      <c r="K44">
        <f t="shared" si="17"/>
        <v>7.4872723645295025</v>
      </c>
      <c r="L44">
        <f t="shared" si="18"/>
        <v>9.1175297149654231</v>
      </c>
      <c r="M44">
        <f t="shared" si="19"/>
        <v>9.456861472805608</v>
      </c>
      <c r="N44">
        <f t="shared" si="20"/>
        <v>11.564839341768387</v>
      </c>
    </row>
    <row r="45" spans="3:20" x14ac:dyDescent="0.25">
      <c r="C45" s="7">
        <v>7</v>
      </c>
      <c r="D45" s="16">
        <f t="shared" si="21"/>
        <v>1.4</v>
      </c>
      <c r="E45" s="22">
        <f t="shared" si="22"/>
        <v>8.3273264613108111</v>
      </c>
      <c r="F45" s="24">
        <f t="shared" si="23"/>
        <v>24.764924653379921</v>
      </c>
      <c r="G45" s="9">
        <f t="shared" si="13"/>
        <v>4.952984930675985</v>
      </c>
      <c r="H45" s="20">
        <f t="shared" si="14"/>
        <v>6.105787351426347</v>
      </c>
      <c r="I45" s="21">
        <f t="shared" si="15"/>
        <v>6.3525683790379368</v>
      </c>
      <c r="J45">
        <f t="shared" si="16"/>
        <v>7.8541083471368269</v>
      </c>
      <c r="K45">
        <f t="shared" si="17"/>
        <v>11.528024207503629</v>
      </c>
      <c r="L45">
        <f t="shared" si="18"/>
        <v>13.995834483619522</v>
      </c>
      <c r="M45">
        <f t="shared" si="19"/>
        <v>14.505617082304216</v>
      </c>
      <c r="N45">
        <f t="shared" si="20"/>
        <v>17.69036710527098</v>
      </c>
    </row>
    <row r="46" spans="3:20" x14ac:dyDescent="0.25">
      <c r="C46" s="7">
        <v>8</v>
      </c>
      <c r="D46" s="16">
        <f t="shared" si="21"/>
        <v>1.5999999999999999</v>
      </c>
      <c r="E46" s="22">
        <f t="shared" si="22"/>
        <v>14.614627251101041</v>
      </c>
      <c r="F46" s="24">
        <f t="shared" si="23"/>
        <v>39.13514039415027</v>
      </c>
      <c r="G46" s="9">
        <f t="shared" si="13"/>
        <v>7.8270280788300539</v>
      </c>
      <c r="H46" s="20">
        <f t="shared" si="14"/>
        <v>9.5905514124350297</v>
      </c>
      <c r="I46" s="21">
        <f t="shared" si="15"/>
        <v>9.9630678509399218</v>
      </c>
      <c r="J46">
        <f t="shared" si="16"/>
        <v>12.252076552808521</v>
      </c>
      <c r="K46">
        <f t="shared" si="17"/>
        <v>17.635233336049748</v>
      </c>
      <c r="L46">
        <f t="shared" si="18"/>
        <v>21.360397721098661</v>
      </c>
      <c r="M46">
        <f t="shared" si="19"/>
        <v>22.125242369892337</v>
      </c>
      <c r="N46">
        <f t="shared" si="20"/>
        <v>26.925151617609174</v>
      </c>
    </row>
    <row r="47" spans="3:20" x14ac:dyDescent="0.25">
      <c r="C47" s="7">
        <v>9</v>
      </c>
      <c r="D47" s="16">
        <f t="shared" si="21"/>
        <v>1.7999999999999998</v>
      </c>
      <c r="E47" s="22">
        <f t="shared" si="22"/>
        <v>24.47901777749912</v>
      </c>
      <c r="F47" s="24">
        <f t="shared" si="23"/>
        <v>61.057084583423752</v>
      </c>
      <c r="G47" s="9">
        <f t="shared" si="13"/>
        <v>12.211416916684751</v>
      </c>
      <c r="H47" s="20">
        <f t="shared" si="14"/>
        <v>14.89568128059021</v>
      </c>
      <c r="I47" s="21">
        <f t="shared" si="15"/>
        <v>15.456732251428154</v>
      </c>
      <c r="J47">
        <f t="shared" si="16"/>
        <v>18.931307594118106</v>
      </c>
      <c r="K47">
        <f t="shared" si="17"/>
        <v>26.842643639054604</v>
      </c>
      <c r="L47">
        <f t="shared" si="18"/>
        <v>32.453153347434032</v>
      </c>
      <c r="M47">
        <f t="shared" si="19"/>
        <v>33.599453387166776</v>
      </c>
      <c r="N47">
        <f t="shared" si="20"/>
        <v>40.819622770783411</v>
      </c>
    </row>
    <row r="48" spans="3:20" x14ac:dyDescent="0.25">
      <c r="C48" s="7">
        <v>10</v>
      </c>
      <c r="D48" s="16">
        <f t="shared" si="21"/>
        <v>1.9999999999999998</v>
      </c>
      <c r="E48" s="22">
        <f t="shared" si="22"/>
        <v>39.786943039972385</v>
      </c>
      <c r="F48" s="24">
        <f t="shared" si="23"/>
        <v>94.351664563263682</v>
      </c>
      <c r="G48" s="17">
        <f t="shared" ref="G48" si="24">$P$6*F48</f>
        <v>0</v>
      </c>
      <c r="H48" s="17">
        <f>$P$6*(F48+G48)</f>
        <v>0</v>
      </c>
      <c r="I48" s="17">
        <f>$P$6*(G48+H48)</f>
        <v>0</v>
      </c>
      <c r="J48" s="17">
        <f>$P$6*(H48+I48)</f>
        <v>0</v>
      </c>
      <c r="K48" s="17">
        <f t="shared" ref="K48" si="25">$P$6*J48</f>
        <v>0</v>
      </c>
      <c r="L48" s="17">
        <f>$P$6*(J48+K48)</f>
        <v>0</v>
      </c>
      <c r="M48" s="17">
        <f>$P$6*(K48+L48)</f>
        <v>0</v>
      </c>
      <c r="N48" s="17">
        <f>$P$6*(L48+M48)</f>
        <v>0</v>
      </c>
    </row>
  </sheetData>
  <mergeCells count="4">
    <mergeCell ref="Q10:T10"/>
    <mergeCell ref="Q11:T11"/>
    <mergeCell ref="Q42:T42"/>
    <mergeCell ref="Q43:T4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D171-56CE-4B5D-AEC8-BEE5B656E866}">
  <dimension ref="A6:J17"/>
  <sheetViews>
    <sheetView zoomScale="55" zoomScaleNormal="55" workbookViewId="0">
      <selection activeCell="D7" sqref="D7:I9"/>
    </sheetView>
  </sheetViews>
  <sheetFormatPr defaultColWidth="11.42578125" defaultRowHeight="60" customHeight="1" x14ac:dyDescent="0.25"/>
  <cols>
    <col min="1" max="1" width="38.42578125" customWidth="1"/>
  </cols>
  <sheetData>
    <row r="6" spans="1:10" ht="60" customHeight="1" x14ac:dyDescent="0.5">
      <c r="C6" s="27"/>
      <c r="D6" s="27">
        <v>60</v>
      </c>
      <c r="E6" s="27">
        <v>60</v>
      </c>
      <c r="F6" s="27">
        <v>60</v>
      </c>
      <c r="G6" s="27">
        <v>60</v>
      </c>
      <c r="H6" s="27">
        <v>60</v>
      </c>
      <c r="I6" s="27">
        <v>60</v>
      </c>
      <c r="J6" s="27"/>
    </row>
    <row r="7" spans="1:10" ht="60" customHeight="1" x14ac:dyDescent="0.5">
      <c r="A7" s="7" t="s">
        <v>45</v>
      </c>
      <c r="C7" s="27">
        <v>80</v>
      </c>
      <c r="D7" s="28">
        <v>64.599999999999994</v>
      </c>
      <c r="E7" s="28">
        <f ca="1">(E6+F7+E8+D7)/4</f>
        <v>57.130409433301075</v>
      </c>
      <c r="F7" s="28">
        <f t="shared" ref="F7:I7" ca="1" si="0">(F6+G7+F8+E7)/4</f>
        <v>53.410368015814647</v>
      </c>
      <c r="G7" s="28">
        <f t="shared" ca="1" si="0"/>
        <v>51.459452034444887</v>
      </c>
      <c r="H7" s="28">
        <f t="shared" ca="1" si="0"/>
        <v>50.040801980946725</v>
      </c>
      <c r="I7" s="28">
        <f t="shared" ca="1" si="0"/>
        <v>47.615521157175273</v>
      </c>
      <c r="J7" s="27">
        <v>40</v>
      </c>
    </row>
    <row r="8" spans="1:10" ht="60" customHeight="1" x14ac:dyDescent="0.5">
      <c r="C8" s="27">
        <v>80</v>
      </c>
      <c r="D8" s="28">
        <f t="shared" ref="D8:D9" ca="1" si="1">(E8+C8+D7+D9)/4</f>
        <v>61.26925860689397</v>
      </c>
      <c r="E8" s="28">
        <f t="shared" ref="E8:E9" ca="1" si="2">(E7+F8+E9+D8)/4</f>
        <v>50.511269717389659</v>
      </c>
      <c r="F8" s="28">
        <f t="shared" ref="F8:F9" ca="1" si="3">(F7+G8+F9+E8)/4</f>
        <v>45.051610595512628</v>
      </c>
      <c r="G8" s="28">
        <f t="shared" ref="G8:G9" ca="1" si="4">(G7+H8+G9+F8)/4</f>
        <v>42.386638141018182</v>
      </c>
      <c r="H8" s="28">
        <f t="shared" ref="H8:H9" ca="1" si="5">(H7+I8+H9+G8)/4</f>
        <v>41.08823473216674</v>
      </c>
      <c r="I8" s="28">
        <f t="shared" ref="I8:I9" ca="1" si="6">(I7+J8+I9+H8)/4</f>
        <v>40.421282647754381</v>
      </c>
      <c r="J8" s="27">
        <v>40</v>
      </c>
    </row>
    <row r="9" spans="1:10" ht="60" customHeight="1" x14ac:dyDescent="0.5">
      <c r="C9" s="27">
        <v>80</v>
      </c>
      <c r="D9" s="28">
        <f t="shared" ca="1" si="1"/>
        <v>49.965764710186235</v>
      </c>
      <c r="E9" s="28">
        <f t="shared" ca="1" si="2"/>
        <v>38.593800233850978</v>
      </c>
      <c r="F9" s="28">
        <f t="shared" ca="1" si="3"/>
        <v>33.898166507828016</v>
      </c>
      <c r="G9" s="28">
        <f t="shared" ca="1" si="4"/>
        <v>31.947255201948472</v>
      </c>
      <c r="H9" s="28">
        <f t="shared" ca="1" si="5"/>
        <v>31.504216158947685</v>
      </c>
      <c r="I9" s="28">
        <f t="shared" ca="1" si="6"/>
        <v>32.98137470167552</v>
      </c>
      <c r="J9" s="27">
        <v>40</v>
      </c>
    </row>
    <row r="10" spans="1:10" ht="60" customHeight="1" x14ac:dyDescent="0.5">
      <c r="C10" s="27"/>
      <c r="D10" s="27">
        <v>20</v>
      </c>
      <c r="E10" s="27">
        <v>20</v>
      </c>
      <c r="F10" s="27">
        <v>20</v>
      </c>
      <c r="G10" s="27">
        <v>20</v>
      </c>
      <c r="H10" s="27">
        <v>20</v>
      </c>
      <c r="I10" s="27">
        <v>20</v>
      </c>
      <c r="J10" s="27"/>
    </row>
    <row r="11" spans="1:10" ht="60" customHeight="1" x14ac:dyDescent="0.25">
      <c r="C11" s="18"/>
      <c r="D11" s="18"/>
      <c r="E11" s="18"/>
      <c r="F11" s="18"/>
      <c r="G11" s="18"/>
      <c r="H11" s="18"/>
      <c r="I11" s="18"/>
      <c r="J11" s="18"/>
    </row>
    <row r="12" spans="1:10" ht="60" customHeight="1" x14ac:dyDescent="0.25">
      <c r="C12" s="18"/>
      <c r="D12" s="18"/>
      <c r="E12" s="18"/>
      <c r="F12" s="18"/>
      <c r="G12" s="18"/>
      <c r="H12" s="18"/>
      <c r="I12" s="18"/>
      <c r="J12" s="18"/>
    </row>
    <row r="13" spans="1:10" ht="60" customHeight="1" x14ac:dyDescent="0.25">
      <c r="C13" s="18"/>
      <c r="D13" s="18"/>
      <c r="E13" s="18"/>
      <c r="F13" s="18"/>
      <c r="G13" s="18"/>
      <c r="H13" s="18"/>
      <c r="I13" s="18"/>
      <c r="J13" s="18"/>
    </row>
    <row r="14" spans="1:10" ht="60" customHeight="1" x14ac:dyDescent="0.5">
      <c r="C14" s="27"/>
      <c r="D14" s="27">
        <v>20</v>
      </c>
      <c r="E14" s="27">
        <v>20</v>
      </c>
      <c r="F14" s="27">
        <v>20</v>
      </c>
      <c r="G14" s="27">
        <v>20</v>
      </c>
      <c r="H14" s="27"/>
      <c r="I14" s="18"/>
      <c r="J14" s="18"/>
    </row>
    <row r="15" spans="1:10" ht="60" customHeight="1" x14ac:dyDescent="0.5">
      <c r="C15" s="27">
        <v>50</v>
      </c>
      <c r="D15" s="29">
        <f ca="1">(D14+E15+D16+C15)/4</f>
        <v>27.722488038277511</v>
      </c>
      <c r="E15" s="29">
        <f ca="1">(E14+F15+E16+D15)/4</f>
        <v>18.430622009569376</v>
      </c>
      <c r="F15" s="29">
        <f t="shared" ref="F15:G15" ca="1" si="7">(F14+G15+F16+E15)/4</f>
        <v>13.885167464114833</v>
      </c>
      <c r="G15" s="29">
        <f t="shared" ca="1" si="7"/>
        <v>9.5406698564593313</v>
      </c>
      <c r="H15" s="27">
        <v>0</v>
      </c>
      <c r="I15" s="18"/>
      <c r="J15" s="18"/>
    </row>
    <row r="16" spans="1:10" ht="60" customHeight="1" x14ac:dyDescent="0.5">
      <c r="C16" s="27">
        <v>50</v>
      </c>
      <c r="D16" s="29">
        <f ca="1">(D15+E16+D17+C16)/4</f>
        <v>22.459330143540669</v>
      </c>
      <c r="E16" s="29">
        <f ca="1">(E15+F16+E17+D16)/4</f>
        <v>12.114832535885167</v>
      </c>
      <c r="F16" s="29">
        <f t="shared" ref="F16" ca="1" si="8">(F15+G16+F17+E16)/4</f>
        <v>7.5693779904306222</v>
      </c>
      <c r="G16" s="29">
        <f t="shared" ref="G16" ca="1" si="9">(G15+H16+G17+F16)/4</f>
        <v>4.2775119617224888</v>
      </c>
      <c r="H16" s="27">
        <v>0</v>
      </c>
      <c r="I16" s="18"/>
      <c r="J16" s="18"/>
    </row>
    <row r="17" spans="3:8" ht="60" customHeight="1" x14ac:dyDescent="0.5">
      <c r="C17" s="27"/>
      <c r="D17" s="27">
        <v>0</v>
      </c>
      <c r="E17" s="27">
        <v>0</v>
      </c>
      <c r="F17" s="27">
        <v>0</v>
      </c>
      <c r="G17" s="27">
        <v>0</v>
      </c>
      <c r="H17" s="2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D8A5-ED9B-450E-9DF1-F2FC9F1843CA}">
  <dimension ref="B2:M710"/>
  <sheetViews>
    <sheetView workbookViewId="0">
      <selection activeCell="Z133" sqref="Z133"/>
    </sheetView>
  </sheetViews>
  <sheetFormatPr defaultRowHeight="15" x14ac:dyDescent="0.25"/>
  <cols>
    <col min="1" max="1" width="9.140625" style="7" customWidth="1"/>
    <col min="2" max="16384" width="9.140625" style="7"/>
  </cols>
  <sheetData>
    <row r="2" spans="2:12" x14ac:dyDescent="0.25">
      <c r="B2" s="7" t="s">
        <v>48</v>
      </c>
      <c r="C2" s="7">
        <v>0.2</v>
      </c>
      <c r="D2" s="7" t="s">
        <v>49</v>
      </c>
      <c r="E2" s="7">
        <v>0.02</v>
      </c>
    </row>
    <row r="3" spans="2:12" x14ac:dyDescent="0.25">
      <c r="B3" s="30" t="s">
        <v>46</v>
      </c>
      <c r="C3" s="30" t="s">
        <v>47</v>
      </c>
      <c r="D3" s="30">
        <v>0</v>
      </c>
      <c r="E3" s="30">
        <v>1</v>
      </c>
      <c r="F3" s="30">
        <v>2</v>
      </c>
      <c r="G3" s="30">
        <v>3</v>
      </c>
      <c r="H3" s="30">
        <v>4</v>
      </c>
      <c r="I3" s="30">
        <v>5</v>
      </c>
      <c r="J3" s="30">
        <v>6</v>
      </c>
      <c r="K3" s="30">
        <v>7</v>
      </c>
      <c r="L3" s="30">
        <v>8</v>
      </c>
    </row>
    <row r="4" spans="2:12" x14ac:dyDescent="0.25">
      <c r="B4" s="31">
        <v>0</v>
      </c>
      <c r="C4" s="32">
        <v>0</v>
      </c>
      <c r="D4" s="35">
        <v>80</v>
      </c>
      <c r="E4" s="32">
        <v>15</v>
      </c>
      <c r="F4" s="32">
        <v>15</v>
      </c>
      <c r="G4" s="32">
        <v>15</v>
      </c>
      <c r="H4" s="32">
        <v>15</v>
      </c>
      <c r="I4" s="32">
        <v>15</v>
      </c>
      <c r="J4" s="32">
        <v>15</v>
      </c>
      <c r="K4" s="32">
        <v>15</v>
      </c>
      <c r="L4" s="35">
        <v>20</v>
      </c>
    </row>
    <row r="5" spans="2:12" x14ac:dyDescent="0.25">
      <c r="B5" s="31">
        <v>1</v>
      </c>
      <c r="C5" s="32">
        <f>C4+$E$2</f>
        <v>0.02</v>
      </c>
      <c r="D5" s="35">
        <f>D4</f>
        <v>80</v>
      </c>
      <c r="E5" s="32">
        <f>(D4+F4)/2</f>
        <v>47.5</v>
      </c>
      <c r="F5" s="32">
        <f t="shared" ref="F5:K20" si="0">(E4+G4)/2</f>
        <v>15</v>
      </c>
      <c r="G5" s="32">
        <f t="shared" si="0"/>
        <v>15</v>
      </c>
      <c r="H5" s="32">
        <f t="shared" si="0"/>
        <v>15</v>
      </c>
      <c r="I5" s="32">
        <f t="shared" si="0"/>
        <v>15</v>
      </c>
      <c r="J5" s="32">
        <f t="shared" si="0"/>
        <v>15</v>
      </c>
      <c r="K5" s="32">
        <f t="shared" si="0"/>
        <v>17.5</v>
      </c>
      <c r="L5" s="35">
        <f>L4</f>
        <v>20</v>
      </c>
    </row>
    <row r="6" spans="2:12" x14ac:dyDescent="0.25">
      <c r="B6" s="31">
        <v>2</v>
      </c>
      <c r="C6" s="32">
        <f t="shared" ref="C6:C8" si="1">C5+$E$2</f>
        <v>0.04</v>
      </c>
      <c r="D6" s="35">
        <f t="shared" ref="D6:D8" si="2">D5</f>
        <v>80</v>
      </c>
      <c r="E6" s="32">
        <f>(D5+F5)/2</f>
        <v>47.5</v>
      </c>
      <c r="F6" s="32">
        <f t="shared" si="0"/>
        <v>31.25</v>
      </c>
      <c r="G6" s="32">
        <f t="shared" si="0"/>
        <v>15</v>
      </c>
      <c r="H6" s="32">
        <f t="shared" si="0"/>
        <v>15</v>
      </c>
      <c r="I6" s="32">
        <f t="shared" si="0"/>
        <v>15</v>
      </c>
      <c r="J6" s="32">
        <f t="shared" si="0"/>
        <v>16.25</v>
      </c>
      <c r="K6" s="32">
        <f t="shared" si="0"/>
        <v>17.5</v>
      </c>
      <c r="L6" s="35">
        <f t="shared" ref="L6:L8" si="3">L5</f>
        <v>20</v>
      </c>
    </row>
    <row r="7" spans="2:12" x14ac:dyDescent="0.25">
      <c r="B7" s="31">
        <v>3</v>
      </c>
      <c r="C7" s="32">
        <f t="shared" si="1"/>
        <v>0.06</v>
      </c>
      <c r="D7" s="35">
        <f t="shared" si="2"/>
        <v>80</v>
      </c>
      <c r="E7" s="32">
        <f t="shared" ref="E7:K22" si="4">(D6+F6)/2</f>
        <v>55.625</v>
      </c>
      <c r="F7" s="32">
        <f t="shared" si="0"/>
        <v>31.25</v>
      </c>
      <c r="G7" s="32">
        <f t="shared" si="0"/>
        <v>23.125</v>
      </c>
      <c r="H7" s="32">
        <f t="shared" si="0"/>
        <v>15</v>
      </c>
      <c r="I7" s="32">
        <f t="shared" si="0"/>
        <v>15.625</v>
      </c>
      <c r="J7" s="32">
        <f t="shared" si="0"/>
        <v>16.25</v>
      </c>
      <c r="K7" s="32">
        <f t="shared" si="0"/>
        <v>18.125</v>
      </c>
      <c r="L7" s="35">
        <f t="shared" si="3"/>
        <v>20</v>
      </c>
    </row>
    <row r="8" spans="2:12" x14ac:dyDescent="0.25">
      <c r="B8" s="31">
        <v>4</v>
      </c>
      <c r="C8" s="32">
        <f t="shared" si="1"/>
        <v>0.08</v>
      </c>
      <c r="D8" s="35">
        <f t="shared" si="2"/>
        <v>80</v>
      </c>
      <c r="E8" s="32">
        <f t="shared" si="4"/>
        <v>55.625</v>
      </c>
      <c r="F8" s="32">
        <f t="shared" si="0"/>
        <v>39.375</v>
      </c>
      <c r="G8" s="32">
        <f t="shared" si="0"/>
        <v>23.125</v>
      </c>
      <c r="H8" s="32">
        <f t="shared" si="0"/>
        <v>19.375</v>
      </c>
      <c r="I8" s="32">
        <f t="shared" si="0"/>
        <v>15.625</v>
      </c>
      <c r="J8" s="32">
        <f t="shared" si="0"/>
        <v>16.875</v>
      </c>
      <c r="K8" s="32">
        <f t="shared" si="0"/>
        <v>18.125</v>
      </c>
      <c r="L8" s="35">
        <f t="shared" si="3"/>
        <v>20</v>
      </c>
    </row>
    <row r="9" spans="2:12" x14ac:dyDescent="0.25">
      <c r="B9" s="31">
        <v>5</v>
      </c>
      <c r="C9" s="32">
        <f t="shared" ref="C9:C72" si="5">C8+$E$2</f>
        <v>0.1</v>
      </c>
      <c r="D9" s="35">
        <f t="shared" ref="D9:D72" si="6">D8</f>
        <v>80</v>
      </c>
      <c r="E9" s="32">
        <f t="shared" si="4"/>
        <v>59.6875</v>
      </c>
      <c r="F9" s="32">
        <f t="shared" si="0"/>
        <v>39.375</v>
      </c>
      <c r="G9" s="32">
        <f t="shared" si="0"/>
        <v>29.375</v>
      </c>
      <c r="H9" s="32">
        <f t="shared" si="0"/>
        <v>19.375</v>
      </c>
      <c r="I9" s="32">
        <f t="shared" si="0"/>
        <v>18.125</v>
      </c>
      <c r="J9" s="32">
        <f t="shared" si="0"/>
        <v>16.875</v>
      </c>
      <c r="K9" s="32">
        <f t="shared" si="0"/>
        <v>18.4375</v>
      </c>
      <c r="L9" s="35">
        <f t="shared" ref="L9:L72" si="7">L8</f>
        <v>20</v>
      </c>
    </row>
    <row r="10" spans="2:12" x14ac:dyDescent="0.25">
      <c r="B10" s="31">
        <v>6</v>
      </c>
      <c r="C10" s="32">
        <f t="shared" si="5"/>
        <v>0.12000000000000001</v>
      </c>
      <c r="D10" s="35">
        <f t="shared" si="6"/>
        <v>80</v>
      </c>
      <c r="E10" s="32">
        <f t="shared" si="4"/>
        <v>59.6875</v>
      </c>
      <c r="F10" s="32">
        <f t="shared" si="0"/>
        <v>44.53125</v>
      </c>
      <c r="G10" s="32">
        <f t="shared" si="0"/>
        <v>29.375</v>
      </c>
      <c r="H10" s="32">
        <f t="shared" si="0"/>
        <v>23.75</v>
      </c>
      <c r="I10" s="32">
        <f t="shared" si="0"/>
        <v>18.125</v>
      </c>
      <c r="J10" s="32">
        <f t="shared" si="0"/>
        <v>18.28125</v>
      </c>
      <c r="K10" s="32">
        <f t="shared" si="0"/>
        <v>18.4375</v>
      </c>
      <c r="L10" s="35">
        <f t="shared" si="7"/>
        <v>20</v>
      </c>
    </row>
    <row r="11" spans="2:12" x14ac:dyDescent="0.25">
      <c r="B11" s="31">
        <v>7</v>
      </c>
      <c r="C11" s="32">
        <f t="shared" si="5"/>
        <v>0.14000000000000001</v>
      </c>
      <c r="D11" s="35">
        <f t="shared" si="6"/>
        <v>80</v>
      </c>
      <c r="E11" s="32">
        <f t="shared" si="4"/>
        <v>62.265625</v>
      </c>
      <c r="F11" s="32">
        <f t="shared" si="0"/>
        <v>44.53125</v>
      </c>
      <c r="G11" s="32">
        <f t="shared" si="0"/>
        <v>34.140625</v>
      </c>
      <c r="H11" s="32">
        <f t="shared" si="0"/>
        <v>23.75</v>
      </c>
      <c r="I11" s="32">
        <f t="shared" si="0"/>
        <v>21.015625</v>
      </c>
      <c r="J11" s="32">
        <f t="shared" si="0"/>
        <v>18.28125</v>
      </c>
      <c r="K11" s="32">
        <f t="shared" si="0"/>
        <v>19.140625</v>
      </c>
      <c r="L11" s="35">
        <f t="shared" si="7"/>
        <v>20</v>
      </c>
    </row>
    <row r="12" spans="2:12" x14ac:dyDescent="0.25">
      <c r="B12" s="31">
        <v>8</v>
      </c>
      <c r="C12" s="32">
        <f t="shared" si="5"/>
        <v>0.16</v>
      </c>
      <c r="D12" s="35">
        <f t="shared" si="6"/>
        <v>80</v>
      </c>
      <c r="E12" s="32">
        <f t="shared" si="4"/>
        <v>62.265625</v>
      </c>
      <c r="F12" s="32">
        <f t="shared" si="0"/>
        <v>48.203125</v>
      </c>
      <c r="G12" s="32">
        <f t="shared" si="0"/>
        <v>34.140625</v>
      </c>
      <c r="H12" s="32">
        <f t="shared" si="0"/>
        <v>27.578125</v>
      </c>
      <c r="I12" s="32">
        <f t="shared" si="0"/>
        <v>21.015625</v>
      </c>
      <c r="J12" s="32">
        <f t="shared" si="0"/>
        <v>20.078125</v>
      </c>
      <c r="K12" s="32">
        <f t="shared" si="0"/>
        <v>19.140625</v>
      </c>
      <c r="L12" s="35">
        <f t="shared" si="7"/>
        <v>20</v>
      </c>
    </row>
    <row r="13" spans="2:12" x14ac:dyDescent="0.25">
      <c r="B13" s="31">
        <v>9</v>
      </c>
      <c r="C13" s="32">
        <f t="shared" si="5"/>
        <v>0.18</v>
      </c>
      <c r="D13" s="35">
        <f t="shared" si="6"/>
        <v>80</v>
      </c>
      <c r="E13" s="32">
        <f t="shared" si="4"/>
        <v>64.1015625</v>
      </c>
      <c r="F13" s="32">
        <f t="shared" si="0"/>
        <v>48.203125</v>
      </c>
      <c r="G13" s="32">
        <f t="shared" si="0"/>
        <v>37.890625</v>
      </c>
      <c r="H13" s="32">
        <f t="shared" si="0"/>
        <v>27.578125</v>
      </c>
      <c r="I13" s="32">
        <f t="shared" si="0"/>
        <v>23.828125</v>
      </c>
      <c r="J13" s="32">
        <f t="shared" si="0"/>
        <v>20.078125</v>
      </c>
      <c r="K13" s="32">
        <f t="shared" si="0"/>
        <v>20.0390625</v>
      </c>
      <c r="L13" s="35">
        <f t="shared" si="7"/>
        <v>20</v>
      </c>
    </row>
    <row r="14" spans="2:12" x14ac:dyDescent="0.25">
      <c r="B14" s="31">
        <v>10</v>
      </c>
      <c r="C14" s="32">
        <f t="shared" si="5"/>
        <v>0.19999999999999998</v>
      </c>
      <c r="D14" s="35">
        <f t="shared" si="6"/>
        <v>80</v>
      </c>
      <c r="E14" s="32">
        <f t="shared" si="4"/>
        <v>64.1015625</v>
      </c>
      <c r="F14" s="32">
        <f t="shared" si="0"/>
        <v>50.99609375</v>
      </c>
      <c r="G14" s="32">
        <f t="shared" si="0"/>
        <v>37.890625</v>
      </c>
      <c r="H14" s="32">
        <f t="shared" si="0"/>
        <v>30.859375</v>
      </c>
      <c r="I14" s="32">
        <f t="shared" si="0"/>
        <v>23.828125</v>
      </c>
      <c r="J14" s="32">
        <f t="shared" si="0"/>
        <v>21.93359375</v>
      </c>
      <c r="K14" s="32">
        <f t="shared" si="0"/>
        <v>20.0390625</v>
      </c>
      <c r="L14" s="35">
        <f t="shared" si="7"/>
        <v>20</v>
      </c>
    </row>
    <row r="15" spans="2:12" x14ac:dyDescent="0.25">
      <c r="B15" s="31">
        <v>11</v>
      </c>
      <c r="C15" s="32">
        <f t="shared" si="5"/>
        <v>0.21999999999999997</v>
      </c>
      <c r="D15" s="35">
        <f t="shared" si="6"/>
        <v>80</v>
      </c>
      <c r="E15" s="32">
        <f t="shared" si="4"/>
        <v>65.498046875</v>
      </c>
      <c r="F15" s="32">
        <f t="shared" si="0"/>
        <v>50.99609375</v>
      </c>
      <c r="G15" s="32">
        <f t="shared" si="0"/>
        <v>40.927734375</v>
      </c>
      <c r="H15" s="32">
        <f t="shared" si="0"/>
        <v>30.859375</v>
      </c>
      <c r="I15" s="32">
        <f t="shared" si="0"/>
        <v>26.396484375</v>
      </c>
      <c r="J15" s="32">
        <f t="shared" si="0"/>
        <v>21.93359375</v>
      </c>
      <c r="K15" s="32">
        <f t="shared" si="0"/>
        <v>20.966796875</v>
      </c>
      <c r="L15" s="35">
        <f t="shared" si="7"/>
        <v>20</v>
      </c>
    </row>
    <row r="16" spans="2:12" x14ac:dyDescent="0.25">
      <c r="B16" s="31">
        <v>12</v>
      </c>
      <c r="C16" s="32">
        <f t="shared" si="5"/>
        <v>0.23999999999999996</v>
      </c>
      <c r="D16" s="35">
        <f t="shared" si="6"/>
        <v>80</v>
      </c>
      <c r="E16" s="32">
        <f t="shared" si="4"/>
        <v>65.498046875</v>
      </c>
      <c r="F16" s="32">
        <f t="shared" si="0"/>
        <v>53.212890625</v>
      </c>
      <c r="G16" s="32">
        <f t="shared" si="0"/>
        <v>40.927734375</v>
      </c>
      <c r="H16" s="32">
        <f t="shared" si="0"/>
        <v>33.662109375</v>
      </c>
      <c r="I16" s="32">
        <f t="shared" si="0"/>
        <v>26.396484375</v>
      </c>
      <c r="J16" s="32">
        <f t="shared" si="0"/>
        <v>23.681640625</v>
      </c>
      <c r="K16" s="32">
        <f t="shared" si="0"/>
        <v>20.966796875</v>
      </c>
      <c r="L16" s="35">
        <f t="shared" si="7"/>
        <v>20</v>
      </c>
    </row>
    <row r="17" spans="2:12" x14ac:dyDescent="0.25">
      <c r="B17" s="31">
        <v>13</v>
      </c>
      <c r="C17" s="32">
        <f t="shared" si="5"/>
        <v>0.25999999999999995</v>
      </c>
      <c r="D17" s="35">
        <f t="shared" si="6"/>
        <v>80</v>
      </c>
      <c r="E17" s="32">
        <f t="shared" si="4"/>
        <v>66.6064453125</v>
      </c>
      <c r="F17" s="32">
        <f t="shared" si="0"/>
        <v>53.212890625</v>
      </c>
      <c r="G17" s="32">
        <f t="shared" si="0"/>
        <v>43.4375</v>
      </c>
      <c r="H17" s="32">
        <f t="shared" si="0"/>
        <v>33.662109375</v>
      </c>
      <c r="I17" s="32">
        <f t="shared" si="0"/>
        <v>28.671875</v>
      </c>
      <c r="J17" s="32">
        <f t="shared" si="0"/>
        <v>23.681640625</v>
      </c>
      <c r="K17" s="32">
        <f t="shared" si="0"/>
        <v>21.8408203125</v>
      </c>
      <c r="L17" s="35">
        <f t="shared" si="7"/>
        <v>20</v>
      </c>
    </row>
    <row r="18" spans="2:12" x14ac:dyDescent="0.25">
      <c r="B18" s="31">
        <v>14</v>
      </c>
      <c r="C18" s="32">
        <f t="shared" si="5"/>
        <v>0.27999999999999997</v>
      </c>
      <c r="D18" s="35">
        <f t="shared" si="6"/>
        <v>80</v>
      </c>
      <c r="E18" s="32">
        <f t="shared" si="4"/>
        <v>66.6064453125</v>
      </c>
      <c r="F18" s="32">
        <f t="shared" si="0"/>
        <v>55.02197265625</v>
      </c>
      <c r="G18" s="32">
        <f t="shared" si="0"/>
        <v>43.4375</v>
      </c>
      <c r="H18" s="32">
        <f t="shared" si="0"/>
        <v>36.0546875</v>
      </c>
      <c r="I18" s="32">
        <f t="shared" si="0"/>
        <v>28.671875</v>
      </c>
      <c r="J18" s="32">
        <f t="shared" si="0"/>
        <v>25.25634765625</v>
      </c>
      <c r="K18" s="32">
        <f t="shared" si="0"/>
        <v>21.8408203125</v>
      </c>
      <c r="L18" s="35">
        <f t="shared" si="7"/>
        <v>20</v>
      </c>
    </row>
    <row r="19" spans="2:12" x14ac:dyDescent="0.25">
      <c r="B19" s="31">
        <v>15</v>
      </c>
      <c r="C19" s="32">
        <f t="shared" si="5"/>
        <v>0.3</v>
      </c>
      <c r="D19" s="35">
        <f t="shared" si="6"/>
        <v>80</v>
      </c>
      <c r="E19" s="32">
        <f t="shared" si="4"/>
        <v>67.510986328125</v>
      </c>
      <c r="F19" s="32">
        <f t="shared" si="0"/>
        <v>55.02197265625</v>
      </c>
      <c r="G19" s="32">
        <f t="shared" si="0"/>
        <v>45.538330078125</v>
      </c>
      <c r="H19" s="32">
        <f t="shared" si="0"/>
        <v>36.0546875</v>
      </c>
      <c r="I19" s="32">
        <f t="shared" si="0"/>
        <v>30.655517578125</v>
      </c>
      <c r="J19" s="32">
        <f t="shared" si="0"/>
        <v>25.25634765625</v>
      </c>
      <c r="K19" s="32">
        <f t="shared" si="0"/>
        <v>22.628173828125</v>
      </c>
      <c r="L19" s="35">
        <f t="shared" si="7"/>
        <v>20</v>
      </c>
    </row>
    <row r="20" spans="2:12" x14ac:dyDescent="0.25">
      <c r="B20" s="31">
        <v>16</v>
      </c>
      <c r="C20" s="32">
        <f t="shared" si="5"/>
        <v>0.32</v>
      </c>
      <c r="D20" s="35">
        <f t="shared" si="6"/>
        <v>80</v>
      </c>
      <c r="E20" s="32">
        <f t="shared" si="4"/>
        <v>67.510986328125</v>
      </c>
      <c r="F20" s="32">
        <f t="shared" si="0"/>
        <v>56.524658203125</v>
      </c>
      <c r="G20" s="32">
        <f t="shared" si="0"/>
        <v>45.538330078125</v>
      </c>
      <c r="H20" s="32">
        <f t="shared" si="0"/>
        <v>38.096923828125</v>
      </c>
      <c r="I20" s="32">
        <f t="shared" si="0"/>
        <v>30.655517578125</v>
      </c>
      <c r="J20" s="32">
        <f t="shared" si="0"/>
        <v>26.641845703125</v>
      </c>
      <c r="K20" s="32">
        <f t="shared" si="0"/>
        <v>22.628173828125</v>
      </c>
      <c r="L20" s="35">
        <f t="shared" si="7"/>
        <v>20</v>
      </c>
    </row>
    <row r="21" spans="2:12" x14ac:dyDescent="0.25">
      <c r="B21" s="31">
        <v>17</v>
      </c>
      <c r="C21" s="32">
        <f t="shared" si="5"/>
        <v>0.34</v>
      </c>
      <c r="D21" s="35">
        <f t="shared" si="6"/>
        <v>80</v>
      </c>
      <c r="E21" s="32">
        <f t="shared" si="4"/>
        <v>68.2623291015625</v>
      </c>
      <c r="F21" s="32">
        <f t="shared" si="4"/>
        <v>56.524658203125</v>
      </c>
      <c r="G21" s="32">
        <f t="shared" si="4"/>
        <v>47.310791015625</v>
      </c>
      <c r="H21" s="32">
        <f t="shared" si="4"/>
        <v>38.096923828125</v>
      </c>
      <c r="I21" s="32">
        <f t="shared" si="4"/>
        <v>32.369384765625</v>
      </c>
      <c r="J21" s="32">
        <f t="shared" si="4"/>
        <v>26.641845703125</v>
      </c>
      <c r="K21" s="32">
        <f t="shared" si="4"/>
        <v>23.3209228515625</v>
      </c>
      <c r="L21" s="35">
        <f t="shared" si="7"/>
        <v>20</v>
      </c>
    </row>
    <row r="22" spans="2:12" x14ac:dyDescent="0.25">
      <c r="B22" s="31">
        <v>18</v>
      </c>
      <c r="C22" s="32">
        <f t="shared" si="5"/>
        <v>0.36000000000000004</v>
      </c>
      <c r="D22" s="35">
        <f t="shared" si="6"/>
        <v>80</v>
      </c>
      <c r="E22" s="32">
        <f t="shared" si="4"/>
        <v>68.2623291015625</v>
      </c>
      <c r="F22" s="32">
        <f t="shared" si="4"/>
        <v>57.78656005859375</v>
      </c>
      <c r="G22" s="32">
        <f t="shared" si="4"/>
        <v>47.310791015625</v>
      </c>
      <c r="H22" s="32">
        <f t="shared" si="4"/>
        <v>39.840087890625</v>
      </c>
      <c r="I22" s="32">
        <f t="shared" si="4"/>
        <v>32.369384765625</v>
      </c>
      <c r="J22" s="32">
        <f t="shared" si="4"/>
        <v>27.84515380859375</v>
      </c>
      <c r="K22" s="32">
        <f t="shared" si="4"/>
        <v>23.3209228515625</v>
      </c>
      <c r="L22" s="35">
        <f t="shared" si="7"/>
        <v>20</v>
      </c>
    </row>
    <row r="23" spans="2:12" x14ac:dyDescent="0.25">
      <c r="B23" s="31">
        <v>19</v>
      </c>
      <c r="C23" s="32">
        <f t="shared" si="5"/>
        <v>0.38000000000000006</v>
      </c>
      <c r="D23" s="35">
        <f t="shared" si="6"/>
        <v>80</v>
      </c>
      <c r="E23" s="32">
        <f t="shared" ref="E23:K59" si="8">(D22+F22)/2</f>
        <v>68.893280029296875</v>
      </c>
      <c r="F23" s="32">
        <f t="shared" si="8"/>
        <v>57.78656005859375</v>
      </c>
      <c r="G23" s="32">
        <f t="shared" si="8"/>
        <v>48.813323974609375</v>
      </c>
      <c r="H23" s="32">
        <f t="shared" si="8"/>
        <v>39.840087890625</v>
      </c>
      <c r="I23" s="32">
        <f t="shared" si="8"/>
        <v>33.842620849609375</v>
      </c>
      <c r="J23" s="32">
        <f t="shared" si="8"/>
        <v>27.84515380859375</v>
      </c>
      <c r="K23" s="32">
        <f t="shared" si="8"/>
        <v>23.922576904296875</v>
      </c>
      <c r="L23" s="35">
        <f t="shared" si="7"/>
        <v>20</v>
      </c>
    </row>
    <row r="24" spans="2:12" x14ac:dyDescent="0.25">
      <c r="B24" s="31">
        <v>20</v>
      </c>
      <c r="C24" s="32">
        <f t="shared" si="5"/>
        <v>0.40000000000000008</v>
      </c>
      <c r="D24" s="35">
        <f t="shared" si="6"/>
        <v>80</v>
      </c>
      <c r="E24" s="32">
        <f t="shared" si="8"/>
        <v>68.893280029296875</v>
      </c>
      <c r="F24" s="32">
        <f t="shared" si="8"/>
        <v>58.853302001953125</v>
      </c>
      <c r="G24" s="32">
        <f t="shared" si="8"/>
        <v>48.813323974609375</v>
      </c>
      <c r="H24" s="32">
        <f t="shared" si="8"/>
        <v>41.327972412109375</v>
      </c>
      <c r="I24" s="32">
        <f t="shared" si="8"/>
        <v>33.842620849609375</v>
      </c>
      <c r="J24" s="32">
        <f t="shared" si="8"/>
        <v>28.882598876953125</v>
      </c>
      <c r="K24" s="32">
        <f t="shared" si="8"/>
        <v>23.922576904296875</v>
      </c>
      <c r="L24" s="35">
        <f t="shared" si="7"/>
        <v>20</v>
      </c>
    </row>
    <row r="25" spans="2:12" x14ac:dyDescent="0.25">
      <c r="B25" s="31">
        <v>21</v>
      </c>
      <c r="C25" s="32">
        <f t="shared" si="5"/>
        <v>0.4200000000000001</v>
      </c>
      <c r="D25" s="35">
        <f t="shared" si="6"/>
        <v>80</v>
      </c>
      <c r="E25" s="32">
        <f t="shared" si="8"/>
        <v>69.426651000976563</v>
      </c>
      <c r="F25" s="32">
        <f t="shared" si="8"/>
        <v>58.853302001953125</v>
      </c>
      <c r="G25" s="32">
        <f t="shared" si="8"/>
        <v>50.09063720703125</v>
      </c>
      <c r="H25" s="32">
        <f t="shared" si="8"/>
        <v>41.327972412109375</v>
      </c>
      <c r="I25" s="32">
        <f t="shared" si="8"/>
        <v>35.10528564453125</v>
      </c>
      <c r="J25" s="32">
        <f t="shared" si="8"/>
        <v>28.882598876953125</v>
      </c>
      <c r="K25" s="32">
        <f t="shared" si="8"/>
        <v>24.441299438476563</v>
      </c>
      <c r="L25" s="35">
        <f t="shared" si="7"/>
        <v>20</v>
      </c>
    </row>
    <row r="26" spans="2:12" x14ac:dyDescent="0.25">
      <c r="B26" s="31">
        <v>22</v>
      </c>
      <c r="C26" s="32">
        <f t="shared" si="5"/>
        <v>0.44000000000000011</v>
      </c>
      <c r="D26" s="35">
        <f t="shared" si="6"/>
        <v>80</v>
      </c>
      <c r="E26" s="32">
        <f t="shared" si="8"/>
        <v>69.426651000976563</v>
      </c>
      <c r="F26" s="32">
        <f t="shared" si="8"/>
        <v>59.758644104003906</v>
      </c>
      <c r="G26" s="32">
        <f t="shared" si="8"/>
        <v>50.09063720703125</v>
      </c>
      <c r="H26" s="32">
        <f t="shared" si="8"/>
        <v>42.59796142578125</v>
      </c>
      <c r="I26" s="32">
        <f t="shared" si="8"/>
        <v>35.10528564453125</v>
      </c>
      <c r="J26" s="32">
        <f t="shared" si="8"/>
        <v>29.773292541503906</v>
      </c>
      <c r="K26" s="32">
        <f t="shared" si="8"/>
        <v>24.441299438476563</v>
      </c>
      <c r="L26" s="35">
        <f t="shared" si="7"/>
        <v>20</v>
      </c>
    </row>
    <row r="27" spans="2:12" x14ac:dyDescent="0.25">
      <c r="B27" s="31">
        <v>23</v>
      </c>
      <c r="C27" s="32">
        <f t="shared" si="5"/>
        <v>0.46000000000000013</v>
      </c>
      <c r="D27" s="35">
        <f t="shared" si="6"/>
        <v>80</v>
      </c>
      <c r="E27" s="32">
        <f t="shared" si="8"/>
        <v>69.879322052001953</v>
      </c>
      <c r="F27" s="32">
        <f t="shared" si="8"/>
        <v>59.758644104003906</v>
      </c>
      <c r="G27" s="32">
        <f t="shared" si="8"/>
        <v>51.178302764892578</v>
      </c>
      <c r="H27" s="32">
        <f t="shared" si="8"/>
        <v>42.59796142578125</v>
      </c>
      <c r="I27" s="32">
        <f t="shared" si="8"/>
        <v>36.185626983642578</v>
      </c>
      <c r="J27" s="32">
        <f t="shared" si="8"/>
        <v>29.773292541503906</v>
      </c>
      <c r="K27" s="32">
        <f t="shared" si="8"/>
        <v>24.886646270751953</v>
      </c>
      <c r="L27" s="35">
        <f t="shared" si="7"/>
        <v>20</v>
      </c>
    </row>
    <row r="28" spans="2:12" x14ac:dyDescent="0.25">
      <c r="B28" s="31">
        <v>24</v>
      </c>
      <c r="C28" s="32">
        <f t="shared" si="5"/>
        <v>0.48000000000000015</v>
      </c>
      <c r="D28" s="35">
        <f t="shared" si="6"/>
        <v>80</v>
      </c>
      <c r="E28" s="32">
        <f t="shared" si="8"/>
        <v>69.879322052001953</v>
      </c>
      <c r="F28" s="32">
        <f t="shared" si="8"/>
        <v>60.528812408447266</v>
      </c>
      <c r="G28" s="32">
        <f t="shared" si="8"/>
        <v>51.178302764892578</v>
      </c>
      <c r="H28" s="32">
        <f t="shared" si="8"/>
        <v>43.681964874267578</v>
      </c>
      <c r="I28" s="32">
        <f t="shared" si="8"/>
        <v>36.185626983642578</v>
      </c>
      <c r="J28" s="32">
        <f t="shared" si="8"/>
        <v>30.536136627197266</v>
      </c>
      <c r="K28" s="32">
        <f t="shared" si="8"/>
        <v>24.886646270751953</v>
      </c>
      <c r="L28" s="35">
        <f t="shared" si="7"/>
        <v>20</v>
      </c>
    </row>
    <row r="29" spans="2:12" x14ac:dyDescent="0.25">
      <c r="B29" s="31">
        <v>25</v>
      </c>
      <c r="C29" s="32">
        <f t="shared" si="5"/>
        <v>0.50000000000000011</v>
      </c>
      <c r="D29" s="35">
        <f t="shared" si="6"/>
        <v>80</v>
      </c>
      <c r="E29" s="32">
        <f t="shared" si="8"/>
        <v>70.264406204223633</v>
      </c>
      <c r="F29" s="32">
        <f t="shared" si="8"/>
        <v>60.528812408447266</v>
      </c>
      <c r="G29" s="32">
        <f t="shared" si="8"/>
        <v>52.105388641357422</v>
      </c>
      <c r="H29" s="32">
        <f t="shared" si="8"/>
        <v>43.681964874267578</v>
      </c>
      <c r="I29" s="32">
        <f t="shared" si="8"/>
        <v>37.109050750732422</v>
      </c>
      <c r="J29" s="32">
        <f t="shared" si="8"/>
        <v>30.536136627197266</v>
      </c>
      <c r="K29" s="32">
        <f t="shared" si="8"/>
        <v>25.268068313598633</v>
      </c>
      <c r="L29" s="35">
        <f t="shared" si="7"/>
        <v>20</v>
      </c>
    </row>
    <row r="30" spans="2:12" x14ac:dyDescent="0.25">
      <c r="B30" s="31">
        <v>26</v>
      </c>
      <c r="C30" s="32">
        <f t="shared" si="5"/>
        <v>0.52000000000000013</v>
      </c>
      <c r="D30" s="35">
        <f t="shared" si="6"/>
        <v>80</v>
      </c>
      <c r="E30" s="32">
        <f t="shared" si="8"/>
        <v>70.264406204223633</v>
      </c>
      <c r="F30" s="32">
        <f t="shared" si="8"/>
        <v>61.184897422790527</v>
      </c>
      <c r="G30" s="32">
        <f t="shared" si="8"/>
        <v>52.105388641357422</v>
      </c>
      <c r="H30" s="32">
        <f t="shared" si="8"/>
        <v>44.607219696044922</v>
      </c>
      <c r="I30" s="32">
        <f t="shared" si="8"/>
        <v>37.109050750732422</v>
      </c>
      <c r="J30" s="32">
        <f t="shared" si="8"/>
        <v>31.188559532165527</v>
      </c>
      <c r="K30" s="32">
        <f t="shared" si="8"/>
        <v>25.268068313598633</v>
      </c>
      <c r="L30" s="35">
        <f t="shared" si="7"/>
        <v>20</v>
      </c>
    </row>
    <row r="31" spans="2:12" x14ac:dyDescent="0.25">
      <c r="B31" s="31">
        <v>27</v>
      </c>
      <c r="C31" s="32">
        <f t="shared" si="5"/>
        <v>0.54000000000000015</v>
      </c>
      <c r="D31" s="35">
        <f t="shared" si="6"/>
        <v>80</v>
      </c>
      <c r="E31" s="32">
        <f t="shared" si="8"/>
        <v>70.592448711395264</v>
      </c>
      <c r="F31" s="32">
        <f t="shared" si="8"/>
        <v>61.184897422790527</v>
      </c>
      <c r="G31" s="32">
        <f t="shared" si="8"/>
        <v>52.896058559417725</v>
      </c>
      <c r="H31" s="32">
        <f t="shared" si="8"/>
        <v>44.607219696044922</v>
      </c>
      <c r="I31" s="32">
        <f t="shared" si="8"/>
        <v>37.897889614105225</v>
      </c>
      <c r="J31" s="32">
        <f t="shared" si="8"/>
        <v>31.188559532165527</v>
      </c>
      <c r="K31" s="32">
        <f t="shared" si="8"/>
        <v>25.594279766082764</v>
      </c>
      <c r="L31" s="35">
        <f t="shared" si="7"/>
        <v>20</v>
      </c>
    </row>
    <row r="32" spans="2:12" x14ac:dyDescent="0.25">
      <c r="B32" s="31">
        <v>28</v>
      </c>
      <c r="C32" s="32">
        <f t="shared" si="5"/>
        <v>0.56000000000000016</v>
      </c>
      <c r="D32" s="35">
        <f t="shared" si="6"/>
        <v>80</v>
      </c>
      <c r="E32" s="32">
        <f t="shared" si="8"/>
        <v>70.592448711395264</v>
      </c>
      <c r="F32" s="32">
        <f t="shared" si="8"/>
        <v>61.744253635406494</v>
      </c>
      <c r="G32" s="32">
        <f t="shared" si="8"/>
        <v>52.896058559417725</v>
      </c>
      <c r="H32" s="32">
        <f t="shared" si="8"/>
        <v>45.396974086761475</v>
      </c>
      <c r="I32" s="32">
        <f t="shared" si="8"/>
        <v>37.897889614105225</v>
      </c>
      <c r="J32" s="32">
        <f t="shared" si="8"/>
        <v>31.746084690093994</v>
      </c>
      <c r="K32" s="32">
        <f t="shared" si="8"/>
        <v>25.594279766082764</v>
      </c>
      <c r="L32" s="35">
        <f t="shared" si="7"/>
        <v>20</v>
      </c>
    </row>
    <row r="33" spans="2:12" x14ac:dyDescent="0.25">
      <c r="B33" s="31">
        <v>29</v>
      </c>
      <c r="C33" s="32">
        <f t="shared" si="5"/>
        <v>0.58000000000000018</v>
      </c>
      <c r="D33" s="35">
        <f t="shared" si="6"/>
        <v>80</v>
      </c>
      <c r="E33" s="32">
        <f t="shared" si="8"/>
        <v>70.872126817703247</v>
      </c>
      <c r="F33" s="32">
        <f t="shared" si="8"/>
        <v>61.744253635406494</v>
      </c>
      <c r="G33" s="32">
        <f t="shared" si="8"/>
        <v>53.570613861083984</v>
      </c>
      <c r="H33" s="32">
        <f t="shared" si="8"/>
        <v>45.396974086761475</v>
      </c>
      <c r="I33" s="32">
        <f t="shared" si="8"/>
        <v>38.571529388427734</v>
      </c>
      <c r="J33" s="32">
        <f t="shared" si="8"/>
        <v>31.746084690093994</v>
      </c>
      <c r="K33" s="32">
        <f t="shared" si="8"/>
        <v>25.873042345046997</v>
      </c>
      <c r="L33" s="35">
        <f t="shared" si="7"/>
        <v>20</v>
      </c>
    </row>
    <row r="34" spans="2:12" x14ac:dyDescent="0.25">
      <c r="B34" s="31">
        <v>30</v>
      </c>
      <c r="C34" s="32">
        <f t="shared" si="5"/>
        <v>0.6000000000000002</v>
      </c>
      <c r="D34" s="35">
        <f t="shared" si="6"/>
        <v>80</v>
      </c>
      <c r="E34" s="32">
        <f t="shared" si="8"/>
        <v>70.872126817703247</v>
      </c>
      <c r="F34" s="32">
        <f t="shared" si="8"/>
        <v>62.221370339393616</v>
      </c>
      <c r="G34" s="32">
        <f t="shared" si="8"/>
        <v>53.570613861083984</v>
      </c>
      <c r="H34" s="32">
        <f t="shared" si="8"/>
        <v>46.071071624755859</v>
      </c>
      <c r="I34" s="32">
        <f t="shared" si="8"/>
        <v>38.571529388427734</v>
      </c>
      <c r="J34" s="32">
        <f t="shared" si="8"/>
        <v>32.222285866737366</v>
      </c>
      <c r="K34" s="32">
        <f t="shared" si="8"/>
        <v>25.873042345046997</v>
      </c>
      <c r="L34" s="35">
        <f t="shared" si="7"/>
        <v>20</v>
      </c>
    </row>
    <row r="35" spans="2:12" x14ac:dyDescent="0.25">
      <c r="B35" s="31">
        <v>31</v>
      </c>
      <c r="C35" s="32">
        <f t="shared" si="5"/>
        <v>0.62000000000000022</v>
      </c>
      <c r="D35" s="35">
        <f t="shared" si="6"/>
        <v>80</v>
      </c>
      <c r="E35" s="32">
        <f t="shared" si="8"/>
        <v>71.110685169696808</v>
      </c>
      <c r="F35" s="32">
        <f t="shared" si="8"/>
        <v>62.221370339393616</v>
      </c>
      <c r="G35" s="32">
        <f t="shared" si="8"/>
        <v>54.146220982074738</v>
      </c>
      <c r="H35" s="32">
        <f t="shared" si="8"/>
        <v>46.071071624755859</v>
      </c>
      <c r="I35" s="32">
        <f t="shared" si="8"/>
        <v>39.146678745746613</v>
      </c>
      <c r="J35" s="32">
        <f t="shared" si="8"/>
        <v>32.222285866737366</v>
      </c>
      <c r="K35" s="32">
        <f t="shared" si="8"/>
        <v>26.111142933368683</v>
      </c>
      <c r="L35" s="35">
        <f t="shared" si="7"/>
        <v>20</v>
      </c>
    </row>
    <row r="36" spans="2:12" x14ac:dyDescent="0.25">
      <c r="B36" s="31">
        <v>32</v>
      </c>
      <c r="C36" s="32">
        <f t="shared" si="5"/>
        <v>0.64000000000000024</v>
      </c>
      <c r="D36" s="35">
        <f t="shared" si="6"/>
        <v>80</v>
      </c>
      <c r="E36" s="32">
        <f t="shared" si="8"/>
        <v>71.110685169696808</v>
      </c>
      <c r="F36" s="32">
        <f t="shared" si="8"/>
        <v>62.628453075885773</v>
      </c>
      <c r="G36" s="32">
        <f t="shared" si="8"/>
        <v>54.146220982074738</v>
      </c>
      <c r="H36" s="32">
        <f t="shared" si="8"/>
        <v>46.646449863910675</v>
      </c>
      <c r="I36" s="32">
        <f t="shared" si="8"/>
        <v>39.146678745746613</v>
      </c>
      <c r="J36" s="32">
        <f t="shared" si="8"/>
        <v>32.628910839557648</v>
      </c>
      <c r="K36" s="32">
        <f t="shared" si="8"/>
        <v>26.111142933368683</v>
      </c>
      <c r="L36" s="35">
        <f t="shared" si="7"/>
        <v>20</v>
      </c>
    </row>
    <row r="37" spans="2:12" x14ac:dyDescent="0.25">
      <c r="B37" s="31">
        <v>33</v>
      </c>
      <c r="C37" s="32">
        <f t="shared" si="5"/>
        <v>0.66000000000000025</v>
      </c>
      <c r="D37" s="35">
        <f t="shared" si="6"/>
        <v>80</v>
      </c>
      <c r="E37" s="32">
        <f t="shared" si="8"/>
        <v>71.314226537942886</v>
      </c>
      <c r="F37" s="32">
        <f t="shared" si="8"/>
        <v>62.628453075885773</v>
      </c>
      <c r="G37" s="32">
        <f t="shared" si="8"/>
        <v>54.637451469898224</v>
      </c>
      <c r="H37" s="32">
        <f t="shared" si="8"/>
        <v>46.646449863910675</v>
      </c>
      <c r="I37" s="32">
        <f t="shared" si="8"/>
        <v>39.637680351734161</v>
      </c>
      <c r="J37" s="32">
        <f t="shared" si="8"/>
        <v>32.628910839557648</v>
      </c>
      <c r="K37" s="32">
        <f t="shared" si="8"/>
        <v>26.314455419778824</v>
      </c>
      <c r="L37" s="35">
        <f t="shared" si="7"/>
        <v>20</v>
      </c>
    </row>
    <row r="38" spans="2:12" x14ac:dyDescent="0.25">
      <c r="B38" s="31">
        <v>34</v>
      </c>
      <c r="C38" s="32">
        <f t="shared" si="5"/>
        <v>0.68000000000000027</v>
      </c>
      <c r="D38" s="35">
        <f t="shared" si="6"/>
        <v>80</v>
      </c>
      <c r="E38" s="32">
        <f t="shared" si="8"/>
        <v>71.314226537942886</v>
      </c>
      <c r="F38" s="32">
        <f t="shared" si="8"/>
        <v>62.975839003920555</v>
      </c>
      <c r="G38" s="32">
        <f t="shared" si="8"/>
        <v>54.637451469898224</v>
      </c>
      <c r="H38" s="32">
        <f t="shared" si="8"/>
        <v>47.137565910816193</v>
      </c>
      <c r="I38" s="32">
        <f t="shared" si="8"/>
        <v>39.637680351734161</v>
      </c>
      <c r="J38" s="32">
        <f t="shared" si="8"/>
        <v>32.976067885756493</v>
      </c>
      <c r="K38" s="32">
        <f t="shared" si="8"/>
        <v>26.314455419778824</v>
      </c>
      <c r="L38" s="35">
        <f t="shared" si="7"/>
        <v>20</v>
      </c>
    </row>
    <row r="39" spans="2:12" x14ac:dyDescent="0.25">
      <c r="B39" s="31">
        <v>35</v>
      </c>
      <c r="C39" s="32">
        <f t="shared" si="5"/>
        <v>0.70000000000000029</v>
      </c>
      <c r="D39" s="35">
        <f t="shared" si="6"/>
        <v>80</v>
      </c>
      <c r="E39" s="32">
        <f t="shared" si="8"/>
        <v>71.487919501960278</v>
      </c>
      <c r="F39" s="32">
        <f t="shared" si="8"/>
        <v>62.975839003920555</v>
      </c>
      <c r="G39" s="32">
        <f t="shared" si="8"/>
        <v>55.056702457368374</v>
      </c>
      <c r="H39" s="32">
        <f t="shared" si="8"/>
        <v>47.137565910816193</v>
      </c>
      <c r="I39" s="32">
        <f t="shared" si="8"/>
        <v>40.056816898286343</v>
      </c>
      <c r="J39" s="32">
        <f t="shared" si="8"/>
        <v>32.976067885756493</v>
      </c>
      <c r="K39" s="32">
        <f t="shared" si="8"/>
        <v>26.488033942878246</v>
      </c>
      <c r="L39" s="35">
        <f t="shared" si="7"/>
        <v>20</v>
      </c>
    </row>
    <row r="40" spans="2:12" x14ac:dyDescent="0.25">
      <c r="B40" s="31">
        <v>36</v>
      </c>
      <c r="C40" s="32">
        <f t="shared" si="5"/>
        <v>0.72000000000000031</v>
      </c>
      <c r="D40" s="35">
        <f t="shared" si="6"/>
        <v>80</v>
      </c>
      <c r="E40" s="32">
        <f t="shared" si="8"/>
        <v>71.487919501960278</v>
      </c>
      <c r="F40" s="32">
        <f t="shared" si="8"/>
        <v>63.272310979664326</v>
      </c>
      <c r="G40" s="32">
        <f t="shared" si="8"/>
        <v>55.056702457368374</v>
      </c>
      <c r="H40" s="32">
        <f t="shared" si="8"/>
        <v>47.556759677827358</v>
      </c>
      <c r="I40" s="32">
        <f t="shared" si="8"/>
        <v>40.056816898286343</v>
      </c>
      <c r="J40" s="32">
        <f t="shared" si="8"/>
        <v>33.272425420582294</v>
      </c>
      <c r="K40" s="32">
        <f t="shared" si="8"/>
        <v>26.488033942878246</v>
      </c>
      <c r="L40" s="35">
        <f t="shared" si="7"/>
        <v>20</v>
      </c>
    </row>
    <row r="41" spans="2:12" x14ac:dyDescent="0.25">
      <c r="B41" s="31">
        <v>37</v>
      </c>
      <c r="C41" s="32">
        <f t="shared" si="5"/>
        <v>0.74000000000000032</v>
      </c>
      <c r="D41" s="35">
        <f t="shared" si="6"/>
        <v>80</v>
      </c>
      <c r="E41" s="32">
        <f t="shared" si="8"/>
        <v>71.636155489832163</v>
      </c>
      <c r="F41" s="32">
        <f t="shared" si="8"/>
        <v>63.272310979664326</v>
      </c>
      <c r="G41" s="32">
        <f t="shared" si="8"/>
        <v>55.414535328745842</v>
      </c>
      <c r="H41" s="32">
        <f t="shared" si="8"/>
        <v>47.556759677827358</v>
      </c>
      <c r="I41" s="32">
        <f t="shared" si="8"/>
        <v>40.414592549204826</v>
      </c>
      <c r="J41" s="32">
        <f t="shared" si="8"/>
        <v>33.272425420582294</v>
      </c>
      <c r="K41" s="32">
        <f t="shared" si="8"/>
        <v>26.636212710291147</v>
      </c>
      <c r="L41" s="35">
        <f t="shared" si="7"/>
        <v>20</v>
      </c>
    </row>
    <row r="42" spans="2:12" x14ac:dyDescent="0.25">
      <c r="B42" s="31">
        <v>38</v>
      </c>
      <c r="C42" s="32">
        <f t="shared" si="5"/>
        <v>0.76000000000000034</v>
      </c>
      <c r="D42" s="35">
        <f t="shared" si="6"/>
        <v>80</v>
      </c>
      <c r="E42" s="32">
        <f t="shared" si="8"/>
        <v>71.636155489832163</v>
      </c>
      <c r="F42" s="32">
        <f t="shared" si="8"/>
        <v>63.525345409289002</v>
      </c>
      <c r="G42" s="32">
        <f t="shared" si="8"/>
        <v>55.414535328745842</v>
      </c>
      <c r="H42" s="32">
        <f t="shared" si="8"/>
        <v>47.914563938975334</v>
      </c>
      <c r="I42" s="32">
        <f t="shared" si="8"/>
        <v>40.414592549204826</v>
      </c>
      <c r="J42" s="32">
        <f t="shared" si="8"/>
        <v>33.525402629747987</v>
      </c>
      <c r="K42" s="32">
        <f t="shared" si="8"/>
        <v>26.636212710291147</v>
      </c>
      <c r="L42" s="35">
        <f t="shared" si="7"/>
        <v>20</v>
      </c>
    </row>
    <row r="43" spans="2:12" x14ac:dyDescent="0.25">
      <c r="B43" s="31">
        <v>39</v>
      </c>
      <c r="C43" s="32">
        <f t="shared" si="5"/>
        <v>0.78000000000000036</v>
      </c>
      <c r="D43" s="35">
        <f t="shared" si="6"/>
        <v>80</v>
      </c>
      <c r="E43" s="32">
        <f t="shared" si="8"/>
        <v>71.762672704644501</v>
      </c>
      <c r="F43" s="32">
        <f t="shared" si="8"/>
        <v>63.525345409289002</v>
      </c>
      <c r="G43" s="32">
        <f t="shared" si="8"/>
        <v>55.719954674132168</v>
      </c>
      <c r="H43" s="32">
        <f t="shared" si="8"/>
        <v>47.914563938975334</v>
      </c>
      <c r="I43" s="32">
        <f t="shared" si="8"/>
        <v>40.71998328436166</v>
      </c>
      <c r="J43" s="32">
        <f t="shared" si="8"/>
        <v>33.525402629747987</v>
      </c>
      <c r="K43" s="32">
        <f t="shared" si="8"/>
        <v>26.762701314873993</v>
      </c>
      <c r="L43" s="35">
        <f t="shared" si="7"/>
        <v>20</v>
      </c>
    </row>
    <row r="44" spans="2:12" x14ac:dyDescent="0.25">
      <c r="B44" s="31">
        <v>40</v>
      </c>
      <c r="C44" s="32">
        <f t="shared" si="5"/>
        <v>0.80000000000000038</v>
      </c>
      <c r="D44" s="35">
        <f t="shared" si="6"/>
        <v>80</v>
      </c>
      <c r="E44" s="32">
        <f t="shared" si="8"/>
        <v>71.762672704644501</v>
      </c>
      <c r="F44" s="32">
        <f t="shared" si="8"/>
        <v>63.741313689388335</v>
      </c>
      <c r="G44" s="32">
        <f t="shared" si="8"/>
        <v>55.719954674132168</v>
      </c>
      <c r="H44" s="32">
        <f t="shared" si="8"/>
        <v>48.219968979246914</v>
      </c>
      <c r="I44" s="32">
        <f t="shared" si="8"/>
        <v>40.71998328436166</v>
      </c>
      <c r="J44" s="32">
        <f t="shared" si="8"/>
        <v>33.741342299617827</v>
      </c>
      <c r="K44" s="32">
        <f t="shared" si="8"/>
        <v>26.762701314873993</v>
      </c>
      <c r="L44" s="35">
        <f t="shared" si="7"/>
        <v>20</v>
      </c>
    </row>
    <row r="45" spans="2:12" x14ac:dyDescent="0.25">
      <c r="B45" s="31">
        <v>41</v>
      </c>
      <c r="C45" s="32">
        <f t="shared" si="5"/>
        <v>0.8200000000000004</v>
      </c>
      <c r="D45" s="35">
        <f t="shared" si="6"/>
        <v>80</v>
      </c>
      <c r="E45" s="32">
        <f t="shared" si="8"/>
        <v>71.870656844694167</v>
      </c>
      <c r="F45" s="32">
        <f t="shared" si="8"/>
        <v>63.741313689388335</v>
      </c>
      <c r="G45" s="32">
        <f t="shared" si="8"/>
        <v>55.980641334317625</v>
      </c>
      <c r="H45" s="32">
        <f t="shared" si="8"/>
        <v>48.219968979246914</v>
      </c>
      <c r="I45" s="32">
        <f t="shared" si="8"/>
        <v>40.980655639432371</v>
      </c>
      <c r="J45" s="32">
        <f t="shared" si="8"/>
        <v>33.741342299617827</v>
      </c>
      <c r="K45" s="32">
        <f t="shared" si="8"/>
        <v>26.870671149808913</v>
      </c>
      <c r="L45" s="35">
        <f t="shared" si="7"/>
        <v>20</v>
      </c>
    </row>
    <row r="46" spans="2:12" x14ac:dyDescent="0.25">
      <c r="B46" s="31">
        <v>42</v>
      </c>
      <c r="C46" s="32">
        <f t="shared" si="5"/>
        <v>0.84000000000000041</v>
      </c>
      <c r="D46" s="35">
        <f t="shared" si="6"/>
        <v>80</v>
      </c>
      <c r="E46" s="32">
        <f t="shared" si="8"/>
        <v>71.870656844694167</v>
      </c>
      <c r="F46" s="32">
        <f t="shared" si="8"/>
        <v>63.925649089505896</v>
      </c>
      <c r="G46" s="32">
        <f t="shared" si="8"/>
        <v>55.980641334317625</v>
      </c>
      <c r="H46" s="32">
        <f t="shared" si="8"/>
        <v>48.480648486874998</v>
      </c>
      <c r="I46" s="32">
        <f t="shared" si="8"/>
        <v>40.980655639432371</v>
      </c>
      <c r="J46" s="32">
        <f t="shared" si="8"/>
        <v>33.925663394620642</v>
      </c>
      <c r="K46" s="32">
        <f t="shared" si="8"/>
        <v>26.870671149808913</v>
      </c>
      <c r="L46" s="35">
        <f t="shared" si="7"/>
        <v>20</v>
      </c>
    </row>
    <row r="47" spans="2:12" x14ac:dyDescent="0.25">
      <c r="B47" s="31">
        <v>43</v>
      </c>
      <c r="C47" s="32">
        <f t="shared" si="5"/>
        <v>0.86000000000000043</v>
      </c>
      <c r="D47" s="35">
        <f t="shared" si="6"/>
        <v>80</v>
      </c>
      <c r="E47" s="32">
        <f t="shared" si="8"/>
        <v>71.962824544752948</v>
      </c>
      <c r="F47" s="32">
        <f t="shared" si="8"/>
        <v>63.925649089505896</v>
      </c>
      <c r="G47" s="32">
        <f t="shared" si="8"/>
        <v>56.203148788190447</v>
      </c>
      <c r="H47" s="32">
        <f t="shared" si="8"/>
        <v>48.480648486874998</v>
      </c>
      <c r="I47" s="32">
        <f t="shared" si="8"/>
        <v>41.20315594074782</v>
      </c>
      <c r="J47" s="32">
        <f t="shared" si="8"/>
        <v>33.925663394620642</v>
      </c>
      <c r="K47" s="32">
        <f t="shared" si="8"/>
        <v>26.962831697310321</v>
      </c>
      <c r="L47" s="35">
        <f t="shared" si="7"/>
        <v>20</v>
      </c>
    </row>
    <row r="48" spans="2:12" x14ac:dyDescent="0.25">
      <c r="B48" s="31">
        <v>44</v>
      </c>
      <c r="C48" s="32">
        <f t="shared" si="5"/>
        <v>0.88000000000000045</v>
      </c>
      <c r="D48" s="35">
        <f t="shared" si="6"/>
        <v>80</v>
      </c>
      <c r="E48" s="32">
        <f t="shared" si="8"/>
        <v>71.962824544752948</v>
      </c>
      <c r="F48" s="32">
        <f t="shared" si="8"/>
        <v>64.082986666471697</v>
      </c>
      <c r="G48" s="32">
        <f t="shared" si="8"/>
        <v>56.203148788190447</v>
      </c>
      <c r="H48" s="32">
        <f t="shared" si="8"/>
        <v>48.703152364469133</v>
      </c>
      <c r="I48" s="32">
        <f t="shared" si="8"/>
        <v>41.20315594074782</v>
      </c>
      <c r="J48" s="32">
        <f t="shared" si="8"/>
        <v>34.08299381902907</v>
      </c>
      <c r="K48" s="32">
        <f t="shared" si="8"/>
        <v>26.962831697310321</v>
      </c>
      <c r="L48" s="35">
        <f t="shared" si="7"/>
        <v>20</v>
      </c>
    </row>
    <row r="49" spans="2:12" x14ac:dyDescent="0.25">
      <c r="B49" s="31">
        <v>45</v>
      </c>
      <c r="C49" s="32">
        <f t="shared" si="5"/>
        <v>0.90000000000000047</v>
      </c>
      <c r="D49" s="35">
        <f t="shared" si="6"/>
        <v>80</v>
      </c>
      <c r="E49" s="32">
        <f t="shared" si="8"/>
        <v>72.041493333235849</v>
      </c>
      <c r="F49" s="32">
        <f t="shared" si="8"/>
        <v>64.082986666471697</v>
      </c>
      <c r="G49" s="32">
        <f t="shared" si="8"/>
        <v>56.393069515470415</v>
      </c>
      <c r="H49" s="32">
        <f t="shared" si="8"/>
        <v>48.703152364469133</v>
      </c>
      <c r="I49" s="32">
        <f t="shared" si="8"/>
        <v>41.393073091749102</v>
      </c>
      <c r="J49" s="32">
        <f t="shared" si="8"/>
        <v>34.08299381902907</v>
      </c>
      <c r="K49" s="32">
        <f t="shared" si="8"/>
        <v>27.041496909514535</v>
      </c>
      <c r="L49" s="35">
        <f t="shared" si="7"/>
        <v>20</v>
      </c>
    </row>
    <row r="50" spans="2:12" x14ac:dyDescent="0.25">
      <c r="B50" s="31">
        <v>46</v>
      </c>
      <c r="C50" s="32">
        <f t="shared" si="5"/>
        <v>0.92000000000000048</v>
      </c>
      <c r="D50" s="35">
        <f t="shared" si="6"/>
        <v>80</v>
      </c>
      <c r="E50" s="32">
        <f t="shared" si="8"/>
        <v>72.041493333235849</v>
      </c>
      <c r="F50" s="32">
        <f t="shared" si="8"/>
        <v>64.217281424353132</v>
      </c>
      <c r="G50" s="32">
        <f t="shared" si="8"/>
        <v>56.393069515470415</v>
      </c>
      <c r="H50" s="32">
        <f t="shared" si="8"/>
        <v>48.893071303609759</v>
      </c>
      <c r="I50" s="32">
        <f t="shared" si="8"/>
        <v>41.393073091749102</v>
      </c>
      <c r="J50" s="32">
        <f t="shared" si="8"/>
        <v>34.217285000631819</v>
      </c>
      <c r="K50" s="32">
        <f t="shared" si="8"/>
        <v>27.041496909514535</v>
      </c>
      <c r="L50" s="35">
        <f t="shared" si="7"/>
        <v>20</v>
      </c>
    </row>
    <row r="51" spans="2:12" x14ac:dyDescent="0.25">
      <c r="B51" s="31">
        <v>47</v>
      </c>
      <c r="C51" s="32">
        <f t="shared" si="5"/>
        <v>0.9400000000000005</v>
      </c>
      <c r="D51" s="35">
        <f t="shared" si="6"/>
        <v>80</v>
      </c>
      <c r="E51" s="32">
        <f t="shared" si="8"/>
        <v>72.108640712176566</v>
      </c>
      <c r="F51" s="32">
        <f t="shared" si="8"/>
        <v>64.217281424353132</v>
      </c>
      <c r="G51" s="32">
        <f t="shared" si="8"/>
        <v>56.555176363981445</v>
      </c>
      <c r="H51" s="32">
        <f t="shared" si="8"/>
        <v>48.893071303609759</v>
      </c>
      <c r="I51" s="32">
        <f t="shared" si="8"/>
        <v>41.555178152120789</v>
      </c>
      <c r="J51" s="32">
        <f t="shared" si="8"/>
        <v>34.217285000631819</v>
      </c>
      <c r="K51" s="32">
        <f t="shared" si="8"/>
        <v>27.108642500315909</v>
      </c>
      <c r="L51" s="35">
        <f t="shared" si="7"/>
        <v>20</v>
      </c>
    </row>
    <row r="52" spans="2:12" x14ac:dyDescent="0.25">
      <c r="B52" s="31">
        <v>48</v>
      </c>
      <c r="C52" s="32">
        <f t="shared" si="5"/>
        <v>0.96000000000000052</v>
      </c>
      <c r="D52" s="35">
        <f t="shared" si="6"/>
        <v>80</v>
      </c>
      <c r="E52" s="32">
        <f t="shared" si="8"/>
        <v>72.108640712176566</v>
      </c>
      <c r="F52" s="32">
        <f t="shared" si="8"/>
        <v>64.331908538079006</v>
      </c>
      <c r="G52" s="32">
        <f t="shared" si="8"/>
        <v>56.555176363981445</v>
      </c>
      <c r="H52" s="32">
        <f t="shared" si="8"/>
        <v>49.055177258051117</v>
      </c>
      <c r="I52" s="32">
        <f t="shared" si="8"/>
        <v>41.555178152120789</v>
      </c>
      <c r="J52" s="32">
        <f t="shared" si="8"/>
        <v>34.331910326218349</v>
      </c>
      <c r="K52" s="32">
        <f t="shared" si="8"/>
        <v>27.108642500315909</v>
      </c>
      <c r="L52" s="35">
        <f t="shared" si="7"/>
        <v>20</v>
      </c>
    </row>
    <row r="53" spans="2:12" x14ac:dyDescent="0.25">
      <c r="B53" s="31">
        <v>49</v>
      </c>
      <c r="C53" s="32">
        <f t="shared" si="5"/>
        <v>0.98000000000000054</v>
      </c>
      <c r="D53" s="35">
        <f t="shared" si="6"/>
        <v>80</v>
      </c>
      <c r="E53" s="32">
        <f t="shared" si="8"/>
        <v>72.165954269039503</v>
      </c>
      <c r="F53" s="32">
        <f t="shared" si="8"/>
        <v>64.331908538079006</v>
      </c>
      <c r="G53" s="32">
        <f t="shared" si="8"/>
        <v>56.693542898065061</v>
      </c>
      <c r="H53" s="32">
        <f t="shared" si="8"/>
        <v>49.055177258051117</v>
      </c>
      <c r="I53" s="32">
        <f t="shared" si="8"/>
        <v>41.693543792134733</v>
      </c>
      <c r="J53" s="32">
        <f t="shared" si="8"/>
        <v>34.331910326218349</v>
      </c>
      <c r="K53" s="32">
        <f t="shared" si="8"/>
        <v>27.165955163109174</v>
      </c>
      <c r="L53" s="35">
        <f t="shared" si="7"/>
        <v>20</v>
      </c>
    </row>
    <row r="54" spans="2:12" x14ac:dyDescent="0.25">
      <c r="B54" s="31">
        <v>50</v>
      </c>
      <c r="C54" s="32">
        <f t="shared" si="5"/>
        <v>1.0000000000000004</v>
      </c>
      <c r="D54" s="35">
        <f t="shared" si="6"/>
        <v>80</v>
      </c>
      <c r="E54" s="32">
        <f t="shared" si="8"/>
        <v>72.165954269039503</v>
      </c>
      <c r="F54" s="32">
        <f t="shared" si="8"/>
        <v>64.429748583552282</v>
      </c>
      <c r="G54" s="32">
        <f t="shared" si="8"/>
        <v>56.693542898065061</v>
      </c>
      <c r="H54" s="32">
        <f t="shared" si="8"/>
        <v>49.193543345099897</v>
      </c>
      <c r="I54" s="32">
        <f t="shared" si="8"/>
        <v>41.693543792134733</v>
      </c>
      <c r="J54" s="32">
        <f t="shared" si="8"/>
        <v>34.429749477621954</v>
      </c>
      <c r="K54" s="32">
        <f t="shared" si="8"/>
        <v>27.165955163109174</v>
      </c>
      <c r="L54" s="35">
        <f t="shared" si="7"/>
        <v>20</v>
      </c>
    </row>
    <row r="55" spans="2:12" x14ac:dyDescent="0.25">
      <c r="B55" s="31">
        <v>51</v>
      </c>
      <c r="C55" s="32">
        <f t="shared" si="5"/>
        <v>1.0200000000000005</v>
      </c>
      <c r="D55" s="35">
        <f t="shared" si="6"/>
        <v>80</v>
      </c>
      <c r="E55" s="32">
        <f t="shared" si="8"/>
        <v>72.214874291776141</v>
      </c>
      <c r="F55" s="32">
        <f t="shared" si="8"/>
        <v>64.429748583552282</v>
      </c>
      <c r="G55" s="32">
        <f t="shared" si="8"/>
        <v>56.81164596432609</v>
      </c>
      <c r="H55" s="32">
        <f t="shared" si="8"/>
        <v>49.193543345099897</v>
      </c>
      <c r="I55" s="32">
        <f t="shared" si="8"/>
        <v>41.811646411360925</v>
      </c>
      <c r="J55" s="32">
        <f t="shared" si="8"/>
        <v>34.429749477621954</v>
      </c>
      <c r="K55" s="32">
        <f t="shared" si="8"/>
        <v>27.214874738810977</v>
      </c>
      <c r="L55" s="35">
        <f t="shared" si="7"/>
        <v>20</v>
      </c>
    </row>
    <row r="56" spans="2:12" x14ac:dyDescent="0.25">
      <c r="B56" s="31">
        <v>52</v>
      </c>
      <c r="C56" s="32">
        <f t="shared" si="5"/>
        <v>1.0400000000000005</v>
      </c>
      <c r="D56" s="35">
        <f t="shared" si="6"/>
        <v>80</v>
      </c>
      <c r="E56" s="32">
        <f t="shared" si="8"/>
        <v>72.214874291776141</v>
      </c>
      <c r="F56" s="32">
        <f t="shared" si="8"/>
        <v>64.513260128051115</v>
      </c>
      <c r="G56" s="32">
        <f t="shared" si="8"/>
        <v>56.81164596432609</v>
      </c>
      <c r="H56" s="32">
        <f t="shared" si="8"/>
        <v>49.311646187843508</v>
      </c>
      <c r="I56" s="32">
        <f t="shared" si="8"/>
        <v>41.811646411360925</v>
      </c>
      <c r="J56" s="32">
        <f t="shared" si="8"/>
        <v>34.513260575085951</v>
      </c>
      <c r="K56" s="32">
        <f t="shared" si="8"/>
        <v>27.214874738810977</v>
      </c>
      <c r="L56" s="35">
        <f t="shared" si="7"/>
        <v>20</v>
      </c>
    </row>
    <row r="57" spans="2:12" x14ac:dyDescent="0.25">
      <c r="B57" s="31">
        <v>53</v>
      </c>
      <c r="C57" s="32">
        <f t="shared" si="5"/>
        <v>1.0600000000000005</v>
      </c>
      <c r="D57" s="35">
        <f t="shared" si="6"/>
        <v>80</v>
      </c>
      <c r="E57" s="32">
        <f t="shared" si="8"/>
        <v>72.256630064025558</v>
      </c>
      <c r="F57" s="32">
        <f t="shared" si="8"/>
        <v>64.513260128051115</v>
      </c>
      <c r="G57" s="32">
        <f t="shared" si="8"/>
        <v>56.912453157947311</v>
      </c>
      <c r="H57" s="32">
        <f t="shared" si="8"/>
        <v>49.311646187843508</v>
      </c>
      <c r="I57" s="32">
        <f t="shared" si="8"/>
        <v>41.912453381464729</v>
      </c>
      <c r="J57" s="32">
        <f t="shared" si="8"/>
        <v>34.513260575085951</v>
      </c>
      <c r="K57" s="32">
        <f t="shared" si="8"/>
        <v>27.256630287542976</v>
      </c>
      <c r="L57" s="35">
        <f t="shared" si="7"/>
        <v>20</v>
      </c>
    </row>
    <row r="58" spans="2:12" x14ac:dyDescent="0.25">
      <c r="B58" s="31">
        <v>54</v>
      </c>
      <c r="C58" s="32">
        <f t="shared" si="5"/>
        <v>1.0800000000000005</v>
      </c>
      <c r="D58" s="35">
        <f t="shared" si="6"/>
        <v>80</v>
      </c>
      <c r="E58" s="32">
        <f t="shared" si="8"/>
        <v>72.256630064025558</v>
      </c>
      <c r="F58" s="32">
        <f t="shared" si="8"/>
        <v>64.584541610986435</v>
      </c>
      <c r="G58" s="32">
        <f t="shared" si="8"/>
        <v>56.912453157947311</v>
      </c>
      <c r="H58" s="32">
        <f t="shared" si="8"/>
        <v>49.41245326970602</v>
      </c>
      <c r="I58" s="32">
        <f t="shared" si="8"/>
        <v>41.912453381464729</v>
      </c>
      <c r="J58" s="32">
        <f t="shared" si="8"/>
        <v>34.584541834503852</v>
      </c>
      <c r="K58" s="32">
        <f t="shared" si="8"/>
        <v>27.256630287542976</v>
      </c>
      <c r="L58" s="35">
        <f t="shared" si="7"/>
        <v>20</v>
      </c>
    </row>
    <row r="59" spans="2:12" x14ac:dyDescent="0.25">
      <c r="B59" s="31">
        <v>55</v>
      </c>
      <c r="C59" s="32">
        <f t="shared" si="5"/>
        <v>1.1000000000000005</v>
      </c>
      <c r="D59" s="35">
        <f t="shared" si="6"/>
        <v>80</v>
      </c>
      <c r="E59" s="32">
        <f t="shared" si="8"/>
        <v>72.292270805493217</v>
      </c>
      <c r="F59" s="32">
        <f t="shared" si="8"/>
        <v>64.584541610986435</v>
      </c>
      <c r="G59" s="32">
        <f t="shared" si="8"/>
        <v>56.998497440346227</v>
      </c>
      <c r="H59" s="32">
        <f t="shared" ref="F59:K101" si="9">(G58+I58)/2</f>
        <v>49.41245326970602</v>
      </c>
      <c r="I59" s="32">
        <f t="shared" si="9"/>
        <v>41.998497552104936</v>
      </c>
      <c r="J59" s="32">
        <f t="shared" si="9"/>
        <v>34.584541834503852</v>
      </c>
      <c r="K59" s="32">
        <f t="shared" si="9"/>
        <v>27.292270917251926</v>
      </c>
      <c r="L59" s="35">
        <f t="shared" si="7"/>
        <v>20</v>
      </c>
    </row>
    <row r="60" spans="2:12" x14ac:dyDescent="0.25">
      <c r="B60" s="31">
        <v>56</v>
      </c>
      <c r="C60" s="32">
        <f t="shared" si="5"/>
        <v>1.1200000000000006</v>
      </c>
      <c r="D60" s="35">
        <f t="shared" si="6"/>
        <v>80</v>
      </c>
      <c r="E60" s="32">
        <f t="shared" ref="E60:K117" si="10">(D59+F59)/2</f>
        <v>72.292270805493217</v>
      </c>
      <c r="F60" s="32">
        <f t="shared" si="9"/>
        <v>64.645384122919722</v>
      </c>
      <c r="G60" s="32">
        <f t="shared" si="9"/>
        <v>56.998497440346227</v>
      </c>
      <c r="H60" s="32">
        <f t="shared" si="9"/>
        <v>49.498497496225582</v>
      </c>
      <c r="I60" s="32">
        <f t="shared" si="9"/>
        <v>41.998497552104936</v>
      </c>
      <c r="J60" s="32">
        <f t="shared" si="9"/>
        <v>34.645384234678431</v>
      </c>
      <c r="K60" s="32">
        <f t="shared" si="9"/>
        <v>27.292270917251926</v>
      </c>
      <c r="L60" s="35">
        <f t="shared" si="7"/>
        <v>20</v>
      </c>
    </row>
    <row r="61" spans="2:12" x14ac:dyDescent="0.25">
      <c r="B61" s="31">
        <v>57</v>
      </c>
      <c r="C61" s="32">
        <f t="shared" si="5"/>
        <v>1.1400000000000006</v>
      </c>
      <c r="D61" s="35">
        <f t="shared" si="6"/>
        <v>80</v>
      </c>
      <c r="E61" s="32">
        <f t="shared" si="10"/>
        <v>72.322692061459861</v>
      </c>
      <c r="F61" s="32">
        <f t="shared" si="9"/>
        <v>64.645384122919722</v>
      </c>
      <c r="G61" s="32">
        <f t="shared" si="9"/>
        <v>57.071940809572652</v>
      </c>
      <c r="H61" s="32">
        <f t="shared" si="9"/>
        <v>49.498497496225582</v>
      </c>
      <c r="I61" s="32">
        <f t="shared" si="9"/>
        <v>42.071940865452007</v>
      </c>
      <c r="J61" s="32">
        <f t="shared" si="9"/>
        <v>34.645384234678431</v>
      </c>
      <c r="K61" s="32">
        <f t="shared" si="9"/>
        <v>27.322692117339216</v>
      </c>
      <c r="L61" s="35">
        <f t="shared" si="7"/>
        <v>20</v>
      </c>
    </row>
    <row r="62" spans="2:12" x14ac:dyDescent="0.25">
      <c r="B62" s="31">
        <v>58</v>
      </c>
      <c r="C62" s="32">
        <f t="shared" si="5"/>
        <v>1.1600000000000006</v>
      </c>
      <c r="D62" s="35">
        <f t="shared" si="6"/>
        <v>80</v>
      </c>
      <c r="E62" s="32">
        <f t="shared" si="10"/>
        <v>72.322692061459861</v>
      </c>
      <c r="F62" s="32">
        <f t="shared" si="9"/>
        <v>64.697316435516257</v>
      </c>
      <c r="G62" s="32">
        <f t="shared" si="9"/>
        <v>57.071940809572652</v>
      </c>
      <c r="H62" s="32">
        <f t="shared" si="9"/>
        <v>49.571940837512329</v>
      </c>
      <c r="I62" s="32">
        <f t="shared" si="9"/>
        <v>42.071940865452007</v>
      </c>
      <c r="J62" s="32">
        <f t="shared" si="9"/>
        <v>34.697316491395611</v>
      </c>
      <c r="K62" s="32">
        <f t="shared" si="9"/>
        <v>27.322692117339216</v>
      </c>
      <c r="L62" s="35">
        <f t="shared" si="7"/>
        <v>20</v>
      </c>
    </row>
    <row r="63" spans="2:12" x14ac:dyDescent="0.25">
      <c r="B63" s="31">
        <v>59</v>
      </c>
      <c r="C63" s="32">
        <f t="shared" si="5"/>
        <v>1.1800000000000006</v>
      </c>
      <c r="D63" s="35">
        <f t="shared" si="6"/>
        <v>80</v>
      </c>
      <c r="E63" s="32">
        <f t="shared" si="10"/>
        <v>72.348658217758128</v>
      </c>
      <c r="F63" s="32">
        <f t="shared" si="9"/>
        <v>64.697316435516257</v>
      </c>
      <c r="G63" s="32">
        <f t="shared" si="9"/>
        <v>57.134628636514293</v>
      </c>
      <c r="H63" s="32">
        <f t="shared" si="9"/>
        <v>49.571940837512329</v>
      </c>
      <c r="I63" s="32">
        <f t="shared" si="9"/>
        <v>42.13462866445397</v>
      </c>
      <c r="J63" s="32">
        <f t="shared" si="9"/>
        <v>34.697316491395611</v>
      </c>
      <c r="K63" s="32">
        <f t="shared" si="9"/>
        <v>27.348658245697806</v>
      </c>
      <c r="L63" s="35">
        <f t="shared" si="7"/>
        <v>20</v>
      </c>
    </row>
    <row r="64" spans="2:12" x14ac:dyDescent="0.25">
      <c r="B64" s="31">
        <v>60</v>
      </c>
      <c r="C64" s="32">
        <f t="shared" si="5"/>
        <v>1.2000000000000006</v>
      </c>
      <c r="D64" s="35">
        <f t="shared" si="6"/>
        <v>80</v>
      </c>
      <c r="E64" s="32">
        <f t="shared" si="10"/>
        <v>72.348658217758128</v>
      </c>
      <c r="F64" s="32">
        <f t="shared" si="9"/>
        <v>64.741643427136211</v>
      </c>
      <c r="G64" s="32">
        <f t="shared" si="9"/>
        <v>57.134628636514293</v>
      </c>
      <c r="H64" s="32">
        <f t="shared" si="9"/>
        <v>49.634628650484132</v>
      </c>
      <c r="I64" s="32">
        <f t="shared" si="9"/>
        <v>42.13462866445397</v>
      </c>
      <c r="J64" s="32">
        <f t="shared" si="9"/>
        <v>34.741643455075888</v>
      </c>
      <c r="K64" s="32">
        <f t="shared" si="9"/>
        <v>27.348658245697806</v>
      </c>
      <c r="L64" s="35">
        <f t="shared" si="7"/>
        <v>20</v>
      </c>
    </row>
    <row r="65" spans="2:12" x14ac:dyDescent="0.25">
      <c r="B65" s="31">
        <v>61</v>
      </c>
      <c r="C65" s="32">
        <f t="shared" si="5"/>
        <v>1.2200000000000006</v>
      </c>
      <c r="D65" s="35">
        <f t="shared" si="6"/>
        <v>80</v>
      </c>
      <c r="E65" s="32">
        <f t="shared" si="10"/>
        <v>72.370821713568105</v>
      </c>
      <c r="F65" s="32">
        <f t="shared" si="9"/>
        <v>64.741643427136211</v>
      </c>
      <c r="G65" s="32">
        <f t="shared" si="9"/>
        <v>57.188136038810171</v>
      </c>
      <c r="H65" s="32">
        <f t="shared" si="9"/>
        <v>49.634628650484132</v>
      </c>
      <c r="I65" s="32">
        <f t="shared" si="9"/>
        <v>42.18813605278001</v>
      </c>
      <c r="J65" s="32">
        <f t="shared" si="9"/>
        <v>34.741643455075888</v>
      </c>
      <c r="K65" s="32">
        <f t="shared" si="9"/>
        <v>27.370821727537944</v>
      </c>
      <c r="L65" s="35">
        <f t="shared" si="7"/>
        <v>20</v>
      </c>
    </row>
    <row r="66" spans="2:12" x14ac:dyDescent="0.25">
      <c r="B66" s="31">
        <v>62</v>
      </c>
      <c r="C66" s="32">
        <f t="shared" si="5"/>
        <v>1.2400000000000007</v>
      </c>
      <c r="D66" s="35">
        <f t="shared" si="6"/>
        <v>80</v>
      </c>
      <c r="E66" s="32">
        <f t="shared" si="10"/>
        <v>72.370821713568105</v>
      </c>
      <c r="F66" s="32">
        <f t="shared" si="9"/>
        <v>64.779478876189131</v>
      </c>
      <c r="G66" s="32">
        <f t="shared" si="9"/>
        <v>57.188136038810171</v>
      </c>
      <c r="H66" s="32">
        <f t="shared" si="9"/>
        <v>49.68813604579509</v>
      </c>
      <c r="I66" s="32">
        <f t="shared" si="9"/>
        <v>42.18813605278001</v>
      </c>
      <c r="J66" s="32">
        <f t="shared" si="9"/>
        <v>34.779478890158977</v>
      </c>
      <c r="K66" s="32">
        <f t="shared" si="9"/>
        <v>27.370821727537944</v>
      </c>
      <c r="L66" s="35">
        <f t="shared" si="7"/>
        <v>20</v>
      </c>
    </row>
    <row r="67" spans="2:12" x14ac:dyDescent="0.25">
      <c r="B67" s="31">
        <v>63</v>
      </c>
      <c r="C67" s="32">
        <f t="shared" si="5"/>
        <v>1.2600000000000007</v>
      </c>
      <c r="D67" s="35">
        <f t="shared" si="6"/>
        <v>80</v>
      </c>
      <c r="E67" s="32">
        <f t="shared" si="10"/>
        <v>72.389739438094566</v>
      </c>
      <c r="F67" s="32">
        <f t="shared" si="9"/>
        <v>64.779478876189131</v>
      </c>
      <c r="G67" s="32">
        <f t="shared" si="9"/>
        <v>57.233807460992111</v>
      </c>
      <c r="H67" s="32">
        <f t="shared" si="9"/>
        <v>49.68813604579509</v>
      </c>
      <c r="I67" s="32">
        <f t="shared" si="9"/>
        <v>42.23380746797703</v>
      </c>
      <c r="J67" s="32">
        <f t="shared" si="9"/>
        <v>34.779478890158977</v>
      </c>
      <c r="K67" s="32">
        <f t="shared" si="9"/>
        <v>27.389739445079488</v>
      </c>
      <c r="L67" s="35">
        <f t="shared" si="7"/>
        <v>20</v>
      </c>
    </row>
    <row r="68" spans="2:12" x14ac:dyDescent="0.25">
      <c r="B68" s="31">
        <v>64</v>
      </c>
      <c r="C68" s="32">
        <f t="shared" si="5"/>
        <v>1.2800000000000007</v>
      </c>
      <c r="D68" s="35">
        <f t="shared" si="6"/>
        <v>80</v>
      </c>
      <c r="E68" s="32">
        <f t="shared" si="10"/>
        <v>72.389739438094566</v>
      </c>
      <c r="F68" s="32">
        <f t="shared" si="9"/>
        <v>64.811773449543338</v>
      </c>
      <c r="G68" s="32">
        <f t="shared" si="9"/>
        <v>57.233807460992111</v>
      </c>
      <c r="H68" s="32">
        <f t="shared" si="9"/>
        <v>49.73380746448457</v>
      </c>
      <c r="I68" s="32">
        <f t="shared" si="9"/>
        <v>42.23380746797703</v>
      </c>
      <c r="J68" s="32">
        <f t="shared" si="9"/>
        <v>34.811773456528257</v>
      </c>
      <c r="K68" s="32">
        <f t="shared" si="9"/>
        <v>27.389739445079488</v>
      </c>
      <c r="L68" s="35">
        <f t="shared" si="7"/>
        <v>20</v>
      </c>
    </row>
    <row r="69" spans="2:12" x14ac:dyDescent="0.25">
      <c r="B69" s="31">
        <v>65</v>
      </c>
      <c r="C69" s="32">
        <f t="shared" si="5"/>
        <v>1.3000000000000007</v>
      </c>
      <c r="D69" s="35">
        <f t="shared" si="6"/>
        <v>80</v>
      </c>
      <c r="E69" s="32">
        <f t="shared" si="10"/>
        <v>72.405886724771676</v>
      </c>
      <c r="F69" s="32">
        <f t="shared" si="9"/>
        <v>64.811773449543338</v>
      </c>
      <c r="G69" s="32">
        <f t="shared" si="9"/>
        <v>57.272790457013954</v>
      </c>
      <c r="H69" s="32">
        <f t="shared" si="9"/>
        <v>49.73380746448457</v>
      </c>
      <c r="I69" s="32">
        <f t="shared" si="9"/>
        <v>42.272790460506414</v>
      </c>
      <c r="J69" s="32">
        <f t="shared" si="9"/>
        <v>34.811773456528257</v>
      </c>
      <c r="K69" s="32">
        <f t="shared" si="9"/>
        <v>27.405886728264129</v>
      </c>
      <c r="L69" s="35">
        <f t="shared" si="7"/>
        <v>20</v>
      </c>
    </row>
    <row r="70" spans="2:12" x14ac:dyDescent="0.25">
      <c r="B70" s="31">
        <v>66</v>
      </c>
      <c r="C70" s="32">
        <f t="shared" si="5"/>
        <v>1.3200000000000007</v>
      </c>
      <c r="D70" s="35">
        <f t="shared" si="6"/>
        <v>80</v>
      </c>
      <c r="E70" s="32">
        <f t="shared" si="10"/>
        <v>72.405886724771676</v>
      </c>
      <c r="F70" s="32">
        <f t="shared" si="9"/>
        <v>64.839338590892822</v>
      </c>
      <c r="G70" s="32">
        <f t="shared" si="9"/>
        <v>57.272790457013954</v>
      </c>
      <c r="H70" s="32">
        <f t="shared" si="9"/>
        <v>49.772790458760184</v>
      </c>
      <c r="I70" s="32">
        <f t="shared" si="9"/>
        <v>42.272790460506414</v>
      </c>
      <c r="J70" s="32">
        <f t="shared" si="9"/>
        <v>34.839338594385268</v>
      </c>
      <c r="K70" s="32">
        <f t="shared" si="9"/>
        <v>27.405886728264129</v>
      </c>
      <c r="L70" s="35">
        <f t="shared" si="7"/>
        <v>20</v>
      </c>
    </row>
    <row r="71" spans="2:12" x14ac:dyDescent="0.25">
      <c r="B71" s="31">
        <v>67</v>
      </c>
      <c r="C71" s="32">
        <f t="shared" si="5"/>
        <v>1.3400000000000007</v>
      </c>
      <c r="D71" s="35">
        <f t="shared" si="6"/>
        <v>80</v>
      </c>
      <c r="E71" s="32">
        <f t="shared" si="10"/>
        <v>72.419669295446411</v>
      </c>
      <c r="F71" s="32">
        <f t="shared" si="9"/>
        <v>64.839338590892822</v>
      </c>
      <c r="G71" s="32">
        <f t="shared" si="9"/>
        <v>57.306064524826503</v>
      </c>
      <c r="H71" s="32">
        <f t="shared" si="9"/>
        <v>49.772790458760184</v>
      </c>
      <c r="I71" s="32">
        <f t="shared" si="9"/>
        <v>42.306064526572726</v>
      </c>
      <c r="J71" s="32">
        <f t="shared" si="9"/>
        <v>34.839338594385268</v>
      </c>
      <c r="K71" s="32">
        <f t="shared" si="9"/>
        <v>27.419669297192634</v>
      </c>
      <c r="L71" s="35">
        <f t="shared" si="7"/>
        <v>20</v>
      </c>
    </row>
    <row r="72" spans="2:12" x14ac:dyDescent="0.25">
      <c r="B72" s="31">
        <v>68</v>
      </c>
      <c r="C72" s="32">
        <f t="shared" si="5"/>
        <v>1.3600000000000008</v>
      </c>
      <c r="D72" s="35">
        <f t="shared" si="6"/>
        <v>80</v>
      </c>
      <c r="E72" s="32">
        <f t="shared" si="10"/>
        <v>72.419669295446411</v>
      </c>
      <c r="F72" s="32">
        <f t="shared" si="9"/>
        <v>64.862866910136461</v>
      </c>
      <c r="G72" s="32">
        <f t="shared" si="9"/>
        <v>57.306064524826503</v>
      </c>
      <c r="H72" s="32">
        <f t="shared" si="9"/>
        <v>49.806064525699611</v>
      </c>
      <c r="I72" s="32">
        <f t="shared" si="9"/>
        <v>42.306064526572726</v>
      </c>
      <c r="J72" s="32">
        <f t="shared" si="9"/>
        <v>34.862866911882676</v>
      </c>
      <c r="K72" s="32">
        <f t="shared" si="9"/>
        <v>27.419669297192634</v>
      </c>
      <c r="L72" s="35">
        <f t="shared" si="7"/>
        <v>20</v>
      </c>
    </row>
    <row r="73" spans="2:12" x14ac:dyDescent="0.25">
      <c r="B73" s="31">
        <v>69</v>
      </c>
      <c r="C73" s="32">
        <f t="shared" ref="C73:C120" si="11">C72+$E$2</f>
        <v>1.3800000000000008</v>
      </c>
      <c r="D73" s="35">
        <f t="shared" ref="D73:D120" si="12">D72</f>
        <v>80</v>
      </c>
      <c r="E73" s="32">
        <f t="shared" si="10"/>
        <v>72.43143345506823</v>
      </c>
      <c r="F73" s="32">
        <f t="shared" si="9"/>
        <v>64.862866910136461</v>
      </c>
      <c r="G73" s="32">
        <f t="shared" si="9"/>
        <v>57.334465717918036</v>
      </c>
      <c r="H73" s="32">
        <f t="shared" si="9"/>
        <v>49.806064525699611</v>
      </c>
      <c r="I73" s="32">
        <f t="shared" si="9"/>
        <v>42.334465718791144</v>
      </c>
      <c r="J73" s="32">
        <f t="shared" si="9"/>
        <v>34.862866911882676</v>
      </c>
      <c r="K73" s="32">
        <f t="shared" si="9"/>
        <v>27.431433455941338</v>
      </c>
      <c r="L73" s="35">
        <f t="shared" ref="L73:L120" si="13">L72</f>
        <v>20</v>
      </c>
    </row>
    <row r="74" spans="2:12" x14ac:dyDescent="0.25">
      <c r="B74" s="31">
        <v>70</v>
      </c>
      <c r="C74" s="32">
        <f t="shared" si="11"/>
        <v>1.4000000000000008</v>
      </c>
      <c r="D74" s="35">
        <f t="shared" si="12"/>
        <v>80</v>
      </c>
      <c r="E74" s="32">
        <f t="shared" si="10"/>
        <v>72.43143345506823</v>
      </c>
      <c r="F74" s="32">
        <f t="shared" si="9"/>
        <v>64.88294958649314</v>
      </c>
      <c r="G74" s="32">
        <f t="shared" si="9"/>
        <v>57.334465717918036</v>
      </c>
      <c r="H74" s="32">
        <f t="shared" si="9"/>
        <v>49.834465718354593</v>
      </c>
      <c r="I74" s="32">
        <f t="shared" si="9"/>
        <v>42.334465718791144</v>
      </c>
      <c r="J74" s="32">
        <f t="shared" si="9"/>
        <v>34.882949587366241</v>
      </c>
      <c r="K74" s="32">
        <f t="shared" si="9"/>
        <v>27.431433455941338</v>
      </c>
      <c r="L74" s="35">
        <f t="shared" si="13"/>
        <v>20</v>
      </c>
    </row>
    <row r="75" spans="2:12" x14ac:dyDescent="0.25">
      <c r="B75" s="31">
        <v>71</v>
      </c>
      <c r="C75" s="32">
        <f t="shared" si="11"/>
        <v>1.4200000000000008</v>
      </c>
      <c r="D75" s="35">
        <f t="shared" si="12"/>
        <v>80</v>
      </c>
      <c r="E75" s="32">
        <f t="shared" si="10"/>
        <v>72.44147479324657</v>
      </c>
      <c r="F75" s="32">
        <f t="shared" si="9"/>
        <v>64.88294958649314</v>
      </c>
      <c r="G75" s="32">
        <f t="shared" si="9"/>
        <v>57.358707652423867</v>
      </c>
      <c r="H75" s="32">
        <f t="shared" si="9"/>
        <v>49.834465718354593</v>
      </c>
      <c r="I75" s="32">
        <f t="shared" si="9"/>
        <v>42.358707652860417</v>
      </c>
      <c r="J75" s="32">
        <f t="shared" si="9"/>
        <v>34.882949587366241</v>
      </c>
      <c r="K75" s="32">
        <f t="shared" si="9"/>
        <v>27.44147479368312</v>
      </c>
      <c r="L75" s="35">
        <f t="shared" si="13"/>
        <v>20</v>
      </c>
    </row>
    <row r="76" spans="2:12" x14ac:dyDescent="0.25">
      <c r="B76" s="31">
        <v>72</v>
      </c>
      <c r="C76" s="32">
        <f t="shared" si="11"/>
        <v>1.4400000000000008</v>
      </c>
      <c r="D76" s="35">
        <f t="shared" si="12"/>
        <v>80</v>
      </c>
      <c r="E76" s="32">
        <f t="shared" si="10"/>
        <v>72.44147479324657</v>
      </c>
      <c r="F76" s="32">
        <f t="shared" si="9"/>
        <v>64.900091222835215</v>
      </c>
      <c r="G76" s="32">
        <f t="shared" si="9"/>
        <v>57.358707652423867</v>
      </c>
      <c r="H76" s="32">
        <f t="shared" si="9"/>
        <v>49.858707652642138</v>
      </c>
      <c r="I76" s="32">
        <f t="shared" si="9"/>
        <v>42.358707652860417</v>
      </c>
      <c r="J76" s="32">
        <f t="shared" si="9"/>
        <v>34.900091223271772</v>
      </c>
      <c r="K76" s="32">
        <f t="shared" si="9"/>
        <v>27.44147479368312</v>
      </c>
      <c r="L76" s="35">
        <f t="shared" si="13"/>
        <v>20</v>
      </c>
    </row>
    <row r="77" spans="2:12" x14ac:dyDescent="0.25">
      <c r="B77" s="31">
        <v>73</v>
      </c>
      <c r="C77" s="32">
        <f t="shared" si="11"/>
        <v>1.4600000000000009</v>
      </c>
      <c r="D77" s="35">
        <f t="shared" si="12"/>
        <v>80</v>
      </c>
      <c r="E77" s="32">
        <f t="shared" si="10"/>
        <v>72.450045611417607</v>
      </c>
      <c r="F77" s="32">
        <f t="shared" si="9"/>
        <v>64.900091222835215</v>
      </c>
      <c r="G77" s="32">
        <f t="shared" si="9"/>
        <v>57.379399437738677</v>
      </c>
      <c r="H77" s="32">
        <f t="shared" si="9"/>
        <v>49.858707652642138</v>
      </c>
      <c r="I77" s="32">
        <f t="shared" si="9"/>
        <v>42.379399437956955</v>
      </c>
      <c r="J77" s="32">
        <f t="shared" si="9"/>
        <v>34.900091223271772</v>
      </c>
      <c r="K77" s="32">
        <f t="shared" si="9"/>
        <v>27.450045611635886</v>
      </c>
      <c r="L77" s="35">
        <f t="shared" si="13"/>
        <v>20</v>
      </c>
    </row>
    <row r="78" spans="2:12" x14ac:dyDescent="0.25">
      <c r="B78" s="31">
        <v>74</v>
      </c>
      <c r="C78" s="32">
        <f t="shared" si="11"/>
        <v>1.4800000000000009</v>
      </c>
      <c r="D78" s="35">
        <f t="shared" si="12"/>
        <v>80</v>
      </c>
      <c r="E78" s="32">
        <f t="shared" si="10"/>
        <v>72.450045611417607</v>
      </c>
      <c r="F78" s="32">
        <f t="shared" si="9"/>
        <v>64.914722524578139</v>
      </c>
      <c r="G78" s="32">
        <f t="shared" si="9"/>
        <v>57.379399437738677</v>
      </c>
      <c r="H78" s="32">
        <f t="shared" si="9"/>
        <v>49.879399437847816</v>
      </c>
      <c r="I78" s="32">
        <f t="shared" si="9"/>
        <v>42.379399437956955</v>
      </c>
      <c r="J78" s="32">
        <f t="shared" si="9"/>
        <v>34.914722524796417</v>
      </c>
      <c r="K78" s="32">
        <f t="shared" si="9"/>
        <v>27.450045611635886</v>
      </c>
      <c r="L78" s="35">
        <f t="shared" si="13"/>
        <v>20</v>
      </c>
    </row>
    <row r="79" spans="2:12" x14ac:dyDescent="0.25">
      <c r="B79" s="31">
        <v>75</v>
      </c>
      <c r="C79" s="32">
        <f t="shared" si="11"/>
        <v>1.5000000000000009</v>
      </c>
      <c r="D79" s="35">
        <f t="shared" si="12"/>
        <v>80</v>
      </c>
      <c r="E79" s="32">
        <f t="shared" si="10"/>
        <v>72.457361262289069</v>
      </c>
      <c r="F79" s="32">
        <f t="shared" si="9"/>
        <v>64.914722524578139</v>
      </c>
      <c r="G79" s="32">
        <f t="shared" si="9"/>
        <v>57.397060981212974</v>
      </c>
      <c r="H79" s="32">
        <f t="shared" si="9"/>
        <v>49.879399437847816</v>
      </c>
      <c r="I79" s="32">
        <f t="shared" si="9"/>
        <v>42.397060981322113</v>
      </c>
      <c r="J79" s="32">
        <f t="shared" si="9"/>
        <v>34.914722524796417</v>
      </c>
      <c r="K79" s="32">
        <f t="shared" si="9"/>
        <v>27.457361262398209</v>
      </c>
      <c r="L79" s="35">
        <f t="shared" si="13"/>
        <v>20</v>
      </c>
    </row>
    <row r="80" spans="2:12" x14ac:dyDescent="0.25">
      <c r="B80" s="31">
        <v>76</v>
      </c>
      <c r="C80" s="32">
        <f t="shared" si="11"/>
        <v>1.5200000000000009</v>
      </c>
      <c r="D80" s="35">
        <f t="shared" si="12"/>
        <v>80</v>
      </c>
      <c r="E80" s="32">
        <f t="shared" si="10"/>
        <v>72.457361262289069</v>
      </c>
      <c r="F80" s="32">
        <f t="shared" si="9"/>
        <v>64.927211121751014</v>
      </c>
      <c r="G80" s="32">
        <f t="shared" si="9"/>
        <v>57.397060981212974</v>
      </c>
      <c r="H80" s="32">
        <f t="shared" si="9"/>
        <v>49.897060981267543</v>
      </c>
      <c r="I80" s="32">
        <f t="shared" si="9"/>
        <v>42.397060981322113</v>
      </c>
      <c r="J80" s="32">
        <f t="shared" si="9"/>
        <v>34.927211121860161</v>
      </c>
      <c r="K80" s="32">
        <f t="shared" si="9"/>
        <v>27.457361262398209</v>
      </c>
      <c r="L80" s="35">
        <f t="shared" si="13"/>
        <v>20</v>
      </c>
    </row>
    <row r="81" spans="2:12" x14ac:dyDescent="0.25">
      <c r="B81" s="31">
        <v>77</v>
      </c>
      <c r="C81" s="32">
        <f t="shared" si="11"/>
        <v>1.5400000000000009</v>
      </c>
      <c r="D81" s="35">
        <f t="shared" si="12"/>
        <v>80</v>
      </c>
      <c r="E81" s="32">
        <f t="shared" si="10"/>
        <v>72.463605560875507</v>
      </c>
      <c r="F81" s="32">
        <f t="shared" si="9"/>
        <v>64.927211121751014</v>
      </c>
      <c r="G81" s="32">
        <f t="shared" si="9"/>
        <v>57.412136051509279</v>
      </c>
      <c r="H81" s="32">
        <f t="shared" si="9"/>
        <v>49.897060981267543</v>
      </c>
      <c r="I81" s="32">
        <f t="shared" si="9"/>
        <v>42.412136051563849</v>
      </c>
      <c r="J81" s="32">
        <f t="shared" si="9"/>
        <v>34.927211121860161</v>
      </c>
      <c r="K81" s="32">
        <f t="shared" si="9"/>
        <v>27.46360556093008</v>
      </c>
      <c r="L81" s="35">
        <f t="shared" si="13"/>
        <v>20</v>
      </c>
    </row>
    <row r="82" spans="2:12" x14ac:dyDescent="0.25">
      <c r="B82" s="31">
        <v>78</v>
      </c>
      <c r="C82" s="32">
        <f t="shared" si="11"/>
        <v>1.5600000000000009</v>
      </c>
      <c r="D82" s="35">
        <f t="shared" si="12"/>
        <v>80</v>
      </c>
      <c r="E82" s="32">
        <f t="shared" si="10"/>
        <v>72.463605560875507</v>
      </c>
      <c r="F82" s="32">
        <f t="shared" si="9"/>
        <v>64.937870806192393</v>
      </c>
      <c r="G82" s="32">
        <f t="shared" si="9"/>
        <v>57.412136051509279</v>
      </c>
      <c r="H82" s="32">
        <f t="shared" si="9"/>
        <v>49.912136051536564</v>
      </c>
      <c r="I82" s="32">
        <f t="shared" si="9"/>
        <v>42.412136051563849</v>
      </c>
      <c r="J82" s="32">
        <f t="shared" si="9"/>
        <v>34.937870806246963</v>
      </c>
      <c r="K82" s="32">
        <f t="shared" si="9"/>
        <v>27.46360556093008</v>
      </c>
      <c r="L82" s="35">
        <f t="shared" si="13"/>
        <v>20</v>
      </c>
    </row>
    <row r="83" spans="2:12" x14ac:dyDescent="0.25">
      <c r="B83" s="31">
        <v>79</v>
      </c>
      <c r="C83" s="32">
        <f t="shared" si="11"/>
        <v>1.580000000000001</v>
      </c>
      <c r="D83" s="35">
        <f t="shared" si="12"/>
        <v>80</v>
      </c>
      <c r="E83" s="32">
        <f t="shared" si="10"/>
        <v>72.468935403096197</v>
      </c>
      <c r="F83" s="32">
        <f t="shared" si="9"/>
        <v>64.937870806192393</v>
      </c>
      <c r="G83" s="32">
        <f t="shared" si="9"/>
        <v>57.425003428864478</v>
      </c>
      <c r="H83" s="32">
        <f t="shared" si="9"/>
        <v>49.912136051536564</v>
      </c>
      <c r="I83" s="32">
        <f t="shared" si="9"/>
        <v>42.425003428891763</v>
      </c>
      <c r="J83" s="32">
        <f t="shared" si="9"/>
        <v>34.937870806246963</v>
      </c>
      <c r="K83" s="32">
        <f t="shared" si="9"/>
        <v>27.468935403123481</v>
      </c>
      <c r="L83" s="35">
        <f t="shared" si="13"/>
        <v>20</v>
      </c>
    </row>
    <row r="84" spans="2:12" x14ac:dyDescent="0.25">
      <c r="B84" s="31">
        <v>80</v>
      </c>
      <c r="C84" s="32">
        <f t="shared" si="11"/>
        <v>1.600000000000001</v>
      </c>
      <c r="D84" s="35">
        <f t="shared" si="12"/>
        <v>80</v>
      </c>
      <c r="E84" s="32">
        <f t="shared" si="10"/>
        <v>72.468935403096197</v>
      </c>
      <c r="F84" s="32">
        <f t="shared" si="9"/>
        <v>64.946969415980334</v>
      </c>
      <c r="G84" s="32">
        <f t="shared" si="9"/>
        <v>57.425003428864478</v>
      </c>
      <c r="H84" s="32">
        <f t="shared" si="9"/>
        <v>49.925003428878121</v>
      </c>
      <c r="I84" s="32">
        <f t="shared" si="9"/>
        <v>42.425003428891763</v>
      </c>
      <c r="J84" s="32">
        <f t="shared" si="9"/>
        <v>34.946969416007619</v>
      </c>
      <c r="K84" s="32">
        <f t="shared" si="9"/>
        <v>27.468935403123481</v>
      </c>
      <c r="L84" s="35">
        <f t="shared" si="13"/>
        <v>20</v>
      </c>
    </row>
    <row r="85" spans="2:12" x14ac:dyDescent="0.25">
      <c r="B85" s="31">
        <v>81</v>
      </c>
      <c r="C85" s="32">
        <f t="shared" si="11"/>
        <v>1.620000000000001</v>
      </c>
      <c r="D85" s="35">
        <f t="shared" si="12"/>
        <v>80</v>
      </c>
      <c r="E85" s="32">
        <f t="shared" si="10"/>
        <v>72.473484707990167</v>
      </c>
      <c r="F85" s="32">
        <f t="shared" si="9"/>
        <v>64.946969415980334</v>
      </c>
      <c r="G85" s="32">
        <f t="shared" si="9"/>
        <v>57.435986422429224</v>
      </c>
      <c r="H85" s="32">
        <f t="shared" si="9"/>
        <v>49.925003428878121</v>
      </c>
      <c r="I85" s="32">
        <f t="shared" si="9"/>
        <v>42.435986422442866</v>
      </c>
      <c r="J85" s="32">
        <f t="shared" si="9"/>
        <v>34.946969416007619</v>
      </c>
      <c r="K85" s="32">
        <f t="shared" si="9"/>
        <v>27.473484708003809</v>
      </c>
      <c r="L85" s="35">
        <f t="shared" si="13"/>
        <v>20</v>
      </c>
    </row>
    <row r="86" spans="2:12" x14ac:dyDescent="0.25">
      <c r="B86" s="31">
        <v>82</v>
      </c>
      <c r="C86" s="32">
        <f t="shared" si="11"/>
        <v>1.640000000000001</v>
      </c>
      <c r="D86" s="35">
        <f t="shared" si="12"/>
        <v>80</v>
      </c>
      <c r="E86" s="32">
        <f t="shared" si="10"/>
        <v>72.473484707990167</v>
      </c>
      <c r="F86" s="32">
        <f t="shared" si="9"/>
        <v>64.954735565209688</v>
      </c>
      <c r="G86" s="32">
        <f t="shared" si="9"/>
        <v>57.435986422429224</v>
      </c>
      <c r="H86" s="32">
        <f t="shared" si="9"/>
        <v>49.935986422436045</v>
      </c>
      <c r="I86" s="32">
        <f t="shared" si="9"/>
        <v>42.435986422442866</v>
      </c>
      <c r="J86" s="32">
        <f t="shared" si="9"/>
        <v>34.954735565223338</v>
      </c>
      <c r="K86" s="32">
        <f t="shared" si="9"/>
        <v>27.473484708003809</v>
      </c>
      <c r="L86" s="35">
        <f t="shared" si="13"/>
        <v>20</v>
      </c>
    </row>
    <row r="87" spans="2:12" x14ac:dyDescent="0.25">
      <c r="B87" s="31">
        <v>83</v>
      </c>
      <c r="C87" s="32">
        <f t="shared" si="11"/>
        <v>1.660000000000001</v>
      </c>
      <c r="D87" s="35">
        <f t="shared" si="12"/>
        <v>80</v>
      </c>
      <c r="E87" s="32">
        <f t="shared" si="10"/>
        <v>72.477367782604844</v>
      </c>
      <c r="F87" s="32">
        <f t="shared" si="9"/>
        <v>64.954735565209688</v>
      </c>
      <c r="G87" s="32">
        <f t="shared" si="9"/>
        <v>57.445360993822867</v>
      </c>
      <c r="H87" s="32">
        <f t="shared" si="9"/>
        <v>49.935986422436045</v>
      </c>
      <c r="I87" s="32">
        <f t="shared" si="9"/>
        <v>42.445360993829695</v>
      </c>
      <c r="J87" s="32">
        <f t="shared" si="9"/>
        <v>34.954735565223338</v>
      </c>
      <c r="K87" s="32">
        <f t="shared" si="9"/>
        <v>27.477367782611669</v>
      </c>
      <c r="L87" s="35">
        <f t="shared" si="13"/>
        <v>20</v>
      </c>
    </row>
    <row r="88" spans="2:12" x14ac:dyDescent="0.25">
      <c r="B88" s="31">
        <v>84</v>
      </c>
      <c r="C88" s="32">
        <f t="shared" si="11"/>
        <v>1.680000000000001</v>
      </c>
      <c r="D88" s="35">
        <f t="shared" si="12"/>
        <v>80</v>
      </c>
      <c r="E88" s="32">
        <f t="shared" si="10"/>
        <v>72.477367782604844</v>
      </c>
      <c r="F88" s="32">
        <f t="shared" si="9"/>
        <v>64.961364388213852</v>
      </c>
      <c r="G88" s="32">
        <f t="shared" si="9"/>
        <v>57.445360993822867</v>
      </c>
      <c r="H88" s="32">
        <f t="shared" si="9"/>
        <v>49.945360993826284</v>
      </c>
      <c r="I88" s="32">
        <f t="shared" si="9"/>
        <v>42.445360993829695</v>
      </c>
      <c r="J88" s="32">
        <f t="shared" si="9"/>
        <v>34.96136438822068</v>
      </c>
      <c r="K88" s="32">
        <f t="shared" si="9"/>
        <v>27.477367782611669</v>
      </c>
      <c r="L88" s="35">
        <f t="shared" si="13"/>
        <v>20</v>
      </c>
    </row>
    <row r="89" spans="2:12" x14ac:dyDescent="0.25">
      <c r="B89" s="31">
        <v>85</v>
      </c>
      <c r="C89" s="32">
        <f t="shared" si="11"/>
        <v>1.7000000000000011</v>
      </c>
      <c r="D89" s="35">
        <f t="shared" si="12"/>
        <v>80</v>
      </c>
      <c r="E89" s="32">
        <f t="shared" si="10"/>
        <v>72.480682194106919</v>
      </c>
      <c r="F89" s="32">
        <f t="shared" si="9"/>
        <v>64.961364388213852</v>
      </c>
      <c r="G89" s="32">
        <f t="shared" si="9"/>
        <v>57.453362691020068</v>
      </c>
      <c r="H89" s="32">
        <f t="shared" si="9"/>
        <v>49.945360993826284</v>
      </c>
      <c r="I89" s="32">
        <f t="shared" si="9"/>
        <v>42.453362691023486</v>
      </c>
      <c r="J89" s="32">
        <f t="shared" si="9"/>
        <v>34.96136438822068</v>
      </c>
      <c r="K89" s="32">
        <f t="shared" si="9"/>
        <v>27.48068219411034</v>
      </c>
      <c r="L89" s="35">
        <f t="shared" si="13"/>
        <v>20</v>
      </c>
    </row>
    <row r="90" spans="2:12" x14ac:dyDescent="0.25">
      <c r="B90" s="31">
        <v>86</v>
      </c>
      <c r="C90" s="32">
        <f t="shared" si="11"/>
        <v>1.7200000000000011</v>
      </c>
      <c r="D90" s="35">
        <f t="shared" si="12"/>
        <v>80</v>
      </c>
      <c r="E90" s="32">
        <f t="shared" si="10"/>
        <v>72.480682194106919</v>
      </c>
      <c r="F90" s="32">
        <f t="shared" si="9"/>
        <v>64.96702244256349</v>
      </c>
      <c r="G90" s="32">
        <f t="shared" si="9"/>
        <v>57.453362691020068</v>
      </c>
      <c r="H90" s="32">
        <f t="shared" si="9"/>
        <v>49.953362691021781</v>
      </c>
      <c r="I90" s="32">
        <f t="shared" si="9"/>
        <v>42.453362691023486</v>
      </c>
      <c r="J90" s="32">
        <f t="shared" si="9"/>
        <v>34.967022442566915</v>
      </c>
      <c r="K90" s="32">
        <f t="shared" si="9"/>
        <v>27.48068219411034</v>
      </c>
      <c r="L90" s="35">
        <f t="shared" si="13"/>
        <v>20</v>
      </c>
    </row>
    <row r="91" spans="2:12" x14ac:dyDescent="0.25">
      <c r="B91" s="31">
        <v>87</v>
      </c>
      <c r="C91" s="32">
        <f t="shared" si="11"/>
        <v>1.7400000000000011</v>
      </c>
      <c r="D91" s="35">
        <f t="shared" si="12"/>
        <v>80</v>
      </c>
      <c r="E91" s="32">
        <f t="shared" si="10"/>
        <v>72.483511221281745</v>
      </c>
      <c r="F91" s="32">
        <f t="shared" si="9"/>
        <v>64.96702244256349</v>
      </c>
      <c r="G91" s="32">
        <f t="shared" si="9"/>
        <v>57.460192566792635</v>
      </c>
      <c r="H91" s="32">
        <f t="shared" si="9"/>
        <v>49.953362691021781</v>
      </c>
      <c r="I91" s="32">
        <f t="shared" si="9"/>
        <v>42.460192566794348</v>
      </c>
      <c r="J91" s="32">
        <f t="shared" si="9"/>
        <v>34.967022442566915</v>
      </c>
      <c r="K91" s="32">
        <f t="shared" si="9"/>
        <v>27.483511221283457</v>
      </c>
      <c r="L91" s="35">
        <f t="shared" si="13"/>
        <v>20</v>
      </c>
    </row>
    <row r="92" spans="2:12" x14ac:dyDescent="0.25">
      <c r="B92" s="31">
        <v>88</v>
      </c>
      <c r="C92" s="32">
        <f t="shared" si="11"/>
        <v>1.7600000000000011</v>
      </c>
      <c r="D92" s="35">
        <f t="shared" si="12"/>
        <v>80</v>
      </c>
      <c r="E92" s="32">
        <f t="shared" si="10"/>
        <v>72.483511221281745</v>
      </c>
      <c r="F92" s="32">
        <f t="shared" si="9"/>
        <v>64.971851894037187</v>
      </c>
      <c r="G92" s="32">
        <f t="shared" si="9"/>
        <v>57.460192566792635</v>
      </c>
      <c r="H92" s="32">
        <f t="shared" si="9"/>
        <v>49.960192566793495</v>
      </c>
      <c r="I92" s="32">
        <f t="shared" si="9"/>
        <v>42.460192566794348</v>
      </c>
      <c r="J92" s="32">
        <f t="shared" si="9"/>
        <v>34.971851894038906</v>
      </c>
      <c r="K92" s="32">
        <f t="shared" si="9"/>
        <v>27.483511221283457</v>
      </c>
      <c r="L92" s="35">
        <f t="shared" si="13"/>
        <v>20</v>
      </c>
    </row>
    <row r="93" spans="2:12" x14ac:dyDescent="0.25">
      <c r="B93" s="31">
        <v>89</v>
      </c>
      <c r="C93" s="32">
        <f t="shared" si="11"/>
        <v>1.7800000000000011</v>
      </c>
      <c r="D93" s="35">
        <f t="shared" si="12"/>
        <v>80</v>
      </c>
      <c r="E93" s="32">
        <f t="shared" si="10"/>
        <v>72.485925947018586</v>
      </c>
      <c r="F93" s="32">
        <f t="shared" si="9"/>
        <v>64.971851894037187</v>
      </c>
      <c r="G93" s="32">
        <f t="shared" si="9"/>
        <v>57.466022230415341</v>
      </c>
      <c r="H93" s="32">
        <f t="shared" si="9"/>
        <v>49.960192566793495</v>
      </c>
      <c r="I93" s="32">
        <f t="shared" si="9"/>
        <v>42.466022230416201</v>
      </c>
      <c r="J93" s="32">
        <f t="shared" si="9"/>
        <v>34.971851894038906</v>
      </c>
      <c r="K93" s="32">
        <f t="shared" si="9"/>
        <v>27.485925947019453</v>
      </c>
      <c r="L93" s="35">
        <f t="shared" si="13"/>
        <v>20</v>
      </c>
    </row>
    <row r="94" spans="2:12" x14ac:dyDescent="0.25">
      <c r="B94" s="31">
        <v>90</v>
      </c>
      <c r="C94" s="32">
        <f t="shared" si="11"/>
        <v>1.8000000000000012</v>
      </c>
      <c r="D94" s="35">
        <f t="shared" si="12"/>
        <v>80</v>
      </c>
      <c r="E94" s="32">
        <f t="shared" si="10"/>
        <v>72.485925947018586</v>
      </c>
      <c r="F94" s="32">
        <f t="shared" si="9"/>
        <v>64.975974088716967</v>
      </c>
      <c r="G94" s="32">
        <f t="shared" si="9"/>
        <v>57.466022230415341</v>
      </c>
      <c r="H94" s="32">
        <f t="shared" si="9"/>
        <v>49.966022230415774</v>
      </c>
      <c r="I94" s="32">
        <f t="shared" si="9"/>
        <v>42.466022230416201</v>
      </c>
      <c r="J94" s="32">
        <f t="shared" si="9"/>
        <v>34.975974088717827</v>
      </c>
      <c r="K94" s="32">
        <f t="shared" si="9"/>
        <v>27.485925947019453</v>
      </c>
      <c r="L94" s="35">
        <f t="shared" si="13"/>
        <v>20</v>
      </c>
    </row>
    <row r="95" spans="2:12" x14ac:dyDescent="0.25">
      <c r="B95" s="31">
        <v>91</v>
      </c>
      <c r="C95" s="32">
        <f t="shared" si="11"/>
        <v>1.8200000000000012</v>
      </c>
      <c r="D95" s="35">
        <f t="shared" si="12"/>
        <v>80</v>
      </c>
      <c r="E95" s="32">
        <f t="shared" si="10"/>
        <v>72.487987044358476</v>
      </c>
      <c r="F95" s="32">
        <f t="shared" si="9"/>
        <v>64.975974088716967</v>
      </c>
      <c r="G95" s="32">
        <f t="shared" si="9"/>
        <v>57.470998159566371</v>
      </c>
      <c r="H95" s="32">
        <f t="shared" si="9"/>
        <v>49.966022230415774</v>
      </c>
      <c r="I95" s="32">
        <f t="shared" si="9"/>
        <v>42.470998159566804</v>
      </c>
      <c r="J95" s="32">
        <f t="shared" si="9"/>
        <v>34.975974088717827</v>
      </c>
      <c r="K95" s="32">
        <f t="shared" si="9"/>
        <v>27.487987044358913</v>
      </c>
      <c r="L95" s="35">
        <f t="shared" si="13"/>
        <v>20</v>
      </c>
    </row>
    <row r="96" spans="2:12" x14ac:dyDescent="0.25">
      <c r="B96" s="31">
        <v>92</v>
      </c>
      <c r="C96" s="32">
        <f t="shared" si="11"/>
        <v>1.8400000000000012</v>
      </c>
      <c r="D96" s="35">
        <f t="shared" si="12"/>
        <v>80</v>
      </c>
      <c r="E96" s="32">
        <f t="shared" si="10"/>
        <v>72.487987044358476</v>
      </c>
      <c r="F96" s="32">
        <f t="shared" si="9"/>
        <v>64.97949260196242</v>
      </c>
      <c r="G96" s="32">
        <f t="shared" si="9"/>
        <v>57.470998159566371</v>
      </c>
      <c r="H96" s="32">
        <f t="shared" si="9"/>
        <v>49.970998159566591</v>
      </c>
      <c r="I96" s="32">
        <f t="shared" si="9"/>
        <v>42.470998159566804</v>
      </c>
      <c r="J96" s="32">
        <f t="shared" si="9"/>
        <v>34.97949260196286</v>
      </c>
      <c r="K96" s="32">
        <f t="shared" si="9"/>
        <v>27.487987044358913</v>
      </c>
      <c r="L96" s="35">
        <f t="shared" si="13"/>
        <v>20</v>
      </c>
    </row>
    <row r="97" spans="2:12" x14ac:dyDescent="0.25">
      <c r="B97" s="31">
        <v>93</v>
      </c>
      <c r="C97" s="32">
        <f t="shared" si="11"/>
        <v>1.8600000000000012</v>
      </c>
      <c r="D97" s="35">
        <f t="shared" si="12"/>
        <v>80</v>
      </c>
      <c r="E97" s="32">
        <f t="shared" si="10"/>
        <v>72.48974630098121</v>
      </c>
      <c r="F97" s="32">
        <f t="shared" si="9"/>
        <v>64.97949260196242</v>
      </c>
      <c r="G97" s="32">
        <f t="shared" si="9"/>
        <v>57.475245380764505</v>
      </c>
      <c r="H97" s="32">
        <f t="shared" si="9"/>
        <v>49.970998159566591</v>
      </c>
      <c r="I97" s="32">
        <f t="shared" si="9"/>
        <v>42.475245380764726</v>
      </c>
      <c r="J97" s="32">
        <f t="shared" si="9"/>
        <v>34.97949260196286</v>
      </c>
      <c r="K97" s="32">
        <f t="shared" si="9"/>
        <v>27.48974630098143</v>
      </c>
      <c r="L97" s="35">
        <f t="shared" si="13"/>
        <v>20</v>
      </c>
    </row>
    <row r="98" spans="2:12" x14ac:dyDescent="0.25">
      <c r="B98" s="31">
        <v>94</v>
      </c>
      <c r="C98" s="32">
        <f t="shared" si="11"/>
        <v>1.8800000000000012</v>
      </c>
      <c r="D98" s="35">
        <f t="shared" si="12"/>
        <v>80</v>
      </c>
      <c r="E98" s="32">
        <f t="shared" si="10"/>
        <v>72.48974630098121</v>
      </c>
      <c r="F98" s="32">
        <f t="shared" si="9"/>
        <v>64.982495840872858</v>
      </c>
      <c r="G98" s="32">
        <f t="shared" si="9"/>
        <v>57.475245380764505</v>
      </c>
      <c r="H98" s="32">
        <f t="shared" si="9"/>
        <v>49.975245380764619</v>
      </c>
      <c r="I98" s="32">
        <f t="shared" si="9"/>
        <v>42.475245380764726</v>
      </c>
      <c r="J98" s="32">
        <f t="shared" si="9"/>
        <v>34.982495840873078</v>
      </c>
      <c r="K98" s="32">
        <f t="shared" si="9"/>
        <v>27.48974630098143</v>
      </c>
      <c r="L98" s="35">
        <f t="shared" si="13"/>
        <v>20</v>
      </c>
    </row>
    <row r="99" spans="2:12" x14ac:dyDescent="0.25">
      <c r="B99" s="31">
        <v>95</v>
      </c>
      <c r="C99" s="32">
        <f t="shared" si="11"/>
        <v>1.9000000000000012</v>
      </c>
      <c r="D99" s="35">
        <f t="shared" si="12"/>
        <v>80</v>
      </c>
      <c r="E99" s="32">
        <f t="shared" si="10"/>
        <v>72.491247920436422</v>
      </c>
      <c r="F99" s="32">
        <f t="shared" si="9"/>
        <v>64.982495840872858</v>
      </c>
      <c r="G99" s="32">
        <f t="shared" si="9"/>
        <v>57.478870610818738</v>
      </c>
      <c r="H99" s="32">
        <f t="shared" si="9"/>
        <v>49.975245380764619</v>
      </c>
      <c r="I99" s="32">
        <f t="shared" si="9"/>
        <v>42.478870610818845</v>
      </c>
      <c r="J99" s="32">
        <f t="shared" si="9"/>
        <v>34.982495840873078</v>
      </c>
      <c r="K99" s="32">
        <f t="shared" si="9"/>
        <v>27.491247920436539</v>
      </c>
      <c r="L99" s="35">
        <f t="shared" si="13"/>
        <v>20</v>
      </c>
    </row>
    <row r="100" spans="2:12" x14ac:dyDescent="0.25">
      <c r="B100" s="31">
        <v>96</v>
      </c>
      <c r="C100" s="32">
        <f t="shared" si="11"/>
        <v>1.9200000000000013</v>
      </c>
      <c r="D100" s="35">
        <f t="shared" si="12"/>
        <v>80</v>
      </c>
      <c r="E100" s="32">
        <f t="shared" si="10"/>
        <v>72.491247920436422</v>
      </c>
      <c r="F100" s="32">
        <f t="shared" si="9"/>
        <v>64.985059265627584</v>
      </c>
      <c r="G100" s="32">
        <f t="shared" si="9"/>
        <v>57.478870610818738</v>
      </c>
      <c r="H100" s="32">
        <f t="shared" si="9"/>
        <v>49.978870610818788</v>
      </c>
      <c r="I100" s="32">
        <f t="shared" si="9"/>
        <v>42.478870610818845</v>
      </c>
      <c r="J100" s="32">
        <f t="shared" si="9"/>
        <v>34.98505926562769</v>
      </c>
      <c r="K100" s="32">
        <f t="shared" si="9"/>
        <v>27.491247920436539</v>
      </c>
      <c r="L100" s="35">
        <f t="shared" si="13"/>
        <v>20</v>
      </c>
    </row>
    <row r="101" spans="2:12" x14ac:dyDescent="0.25">
      <c r="B101" s="31">
        <v>97</v>
      </c>
      <c r="C101" s="32">
        <f t="shared" si="11"/>
        <v>1.9400000000000013</v>
      </c>
      <c r="D101" s="35">
        <f t="shared" si="12"/>
        <v>80</v>
      </c>
      <c r="E101" s="32">
        <f t="shared" si="10"/>
        <v>72.492529632813785</v>
      </c>
      <c r="F101" s="32">
        <f t="shared" si="9"/>
        <v>64.985059265627584</v>
      </c>
      <c r="G101" s="32">
        <f t="shared" si="9"/>
        <v>57.481964938223186</v>
      </c>
      <c r="H101" s="32">
        <f t="shared" si="9"/>
        <v>49.978870610818788</v>
      </c>
      <c r="I101" s="32">
        <f t="shared" si="9"/>
        <v>42.481964938223243</v>
      </c>
      <c r="J101" s="32">
        <f t="shared" si="9"/>
        <v>34.98505926562769</v>
      </c>
      <c r="K101" s="32">
        <f t="shared" ref="F101:K116" si="14">(J100+L100)/2</f>
        <v>27.492529632813845</v>
      </c>
      <c r="L101" s="35">
        <f t="shared" si="13"/>
        <v>20</v>
      </c>
    </row>
    <row r="102" spans="2:12" x14ac:dyDescent="0.25">
      <c r="B102" s="31">
        <v>98</v>
      </c>
      <c r="C102" s="32">
        <f t="shared" si="11"/>
        <v>1.9600000000000013</v>
      </c>
      <c r="D102" s="35">
        <f t="shared" si="12"/>
        <v>80</v>
      </c>
      <c r="E102" s="32">
        <f t="shared" si="10"/>
        <v>72.492529632813785</v>
      </c>
      <c r="F102" s="32">
        <f t="shared" si="14"/>
        <v>64.987247285518492</v>
      </c>
      <c r="G102" s="32">
        <f t="shared" si="14"/>
        <v>57.481964938223186</v>
      </c>
      <c r="H102" s="32">
        <f t="shared" si="14"/>
        <v>49.981964938223214</v>
      </c>
      <c r="I102" s="32">
        <f t="shared" si="14"/>
        <v>42.481964938223243</v>
      </c>
      <c r="J102" s="32">
        <f t="shared" si="14"/>
        <v>34.987247285518542</v>
      </c>
      <c r="K102" s="32">
        <f t="shared" si="14"/>
        <v>27.492529632813845</v>
      </c>
      <c r="L102" s="35">
        <f t="shared" si="13"/>
        <v>20</v>
      </c>
    </row>
    <row r="103" spans="2:12" x14ac:dyDescent="0.25">
      <c r="B103" s="31">
        <v>99</v>
      </c>
      <c r="C103" s="32">
        <f t="shared" si="11"/>
        <v>1.9800000000000013</v>
      </c>
      <c r="D103" s="35">
        <f t="shared" si="12"/>
        <v>80</v>
      </c>
      <c r="E103" s="32">
        <f t="shared" si="10"/>
        <v>72.493623642759246</v>
      </c>
      <c r="F103" s="32">
        <f t="shared" si="14"/>
        <v>64.987247285518492</v>
      </c>
      <c r="G103" s="32">
        <f t="shared" si="14"/>
        <v>57.484606111870853</v>
      </c>
      <c r="H103" s="32">
        <f t="shared" si="14"/>
        <v>49.981964938223214</v>
      </c>
      <c r="I103" s="32">
        <f t="shared" si="14"/>
        <v>42.484606111870875</v>
      </c>
      <c r="J103" s="32">
        <f t="shared" si="14"/>
        <v>34.987247285518542</v>
      </c>
      <c r="K103" s="32">
        <f t="shared" si="14"/>
        <v>27.493623642759271</v>
      </c>
      <c r="L103" s="35">
        <f t="shared" si="13"/>
        <v>20</v>
      </c>
    </row>
    <row r="104" spans="2:12" x14ac:dyDescent="0.25">
      <c r="B104" s="31">
        <v>100</v>
      </c>
      <c r="C104" s="32">
        <f t="shared" si="11"/>
        <v>2.0000000000000013</v>
      </c>
      <c r="D104" s="35">
        <f t="shared" si="12"/>
        <v>80</v>
      </c>
      <c r="E104" s="32">
        <f t="shared" si="10"/>
        <v>72.493623642759246</v>
      </c>
      <c r="F104" s="32">
        <f t="shared" si="14"/>
        <v>64.989114877315046</v>
      </c>
      <c r="G104" s="32">
        <f t="shared" si="14"/>
        <v>57.484606111870853</v>
      </c>
      <c r="H104" s="32">
        <f t="shared" si="14"/>
        <v>49.98460611187086</v>
      </c>
      <c r="I104" s="32">
        <f t="shared" si="14"/>
        <v>42.484606111870875</v>
      </c>
      <c r="J104" s="32">
        <f t="shared" si="14"/>
        <v>34.989114877315075</v>
      </c>
      <c r="K104" s="32">
        <f t="shared" si="14"/>
        <v>27.493623642759271</v>
      </c>
      <c r="L104" s="35">
        <f t="shared" si="13"/>
        <v>20</v>
      </c>
    </row>
    <row r="105" spans="2:12" x14ac:dyDescent="0.25">
      <c r="B105" s="31">
        <v>101</v>
      </c>
      <c r="C105" s="32">
        <f t="shared" si="11"/>
        <v>2.0200000000000014</v>
      </c>
      <c r="D105" s="35">
        <f t="shared" si="12"/>
        <v>80</v>
      </c>
      <c r="E105" s="32">
        <f t="shared" si="10"/>
        <v>72.494557438657523</v>
      </c>
      <c r="F105" s="32">
        <f t="shared" si="14"/>
        <v>64.989114877315046</v>
      </c>
      <c r="G105" s="32">
        <f t="shared" si="14"/>
        <v>57.486860494592953</v>
      </c>
      <c r="H105" s="32">
        <f t="shared" si="14"/>
        <v>49.98460611187086</v>
      </c>
      <c r="I105" s="32">
        <f t="shared" si="14"/>
        <v>42.486860494592968</v>
      </c>
      <c r="J105" s="32">
        <f t="shared" si="14"/>
        <v>34.989114877315075</v>
      </c>
      <c r="K105" s="32">
        <f t="shared" si="14"/>
        <v>27.494557438657537</v>
      </c>
      <c r="L105" s="35">
        <f t="shared" si="13"/>
        <v>20</v>
      </c>
    </row>
    <row r="106" spans="2:12" x14ac:dyDescent="0.25">
      <c r="B106" s="31">
        <v>102</v>
      </c>
      <c r="C106" s="32">
        <f t="shared" si="11"/>
        <v>2.0400000000000014</v>
      </c>
      <c r="D106" s="35">
        <f t="shared" si="12"/>
        <v>80</v>
      </c>
      <c r="E106" s="32">
        <f t="shared" si="10"/>
        <v>72.494557438657523</v>
      </c>
      <c r="F106" s="32">
        <f t="shared" si="14"/>
        <v>64.990708966625235</v>
      </c>
      <c r="G106" s="32">
        <f t="shared" si="14"/>
        <v>57.486860494592953</v>
      </c>
      <c r="H106" s="32">
        <f t="shared" si="14"/>
        <v>49.98686049459296</v>
      </c>
      <c r="I106" s="32">
        <f t="shared" si="14"/>
        <v>42.486860494592968</v>
      </c>
      <c r="J106" s="32">
        <f t="shared" si="14"/>
        <v>34.990708966625249</v>
      </c>
      <c r="K106" s="32">
        <f t="shared" si="14"/>
        <v>27.494557438657537</v>
      </c>
      <c r="L106" s="35">
        <f t="shared" si="13"/>
        <v>20</v>
      </c>
    </row>
    <row r="107" spans="2:12" x14ac:dyDescent="0.25">
      <c r="B107" s="31">
        <v>103</v>
      </c>
      <c r="C107" s="32">
        <f t="shared" si="11"/>
        <v>2.0600000000000014</v>
      </c>
      <c r="D107" s="35">
        <f t="shared" si="12"/>
        <v>80</v>
      </c>
      <c r="E107" s="32">
        <f t="shared" si="10"/>
        <v>72.49535448331261</v>
      </c>
      <c r="F107" s="32">
        <f t="shared" si="14"/>
        <v>64.990708966625235</v>
      </c>
      <c r="G107" s="32">
        <f t="shared" si="14"/>
        <v>57.488784730609098</v>
      </c>
      <c r="H107" s="32">
        <f t="shared" si="14"/>
        <v>49.98686049459296</v>
      </c>
      <c r="I107" s="32">
        <f t="shared" si="14"/>
        <v>42.488784730609105</v>
      </c>
      <c r="J107" s="32">
        <f t="shared" si="14"/>
        <v>34.990708966625249</v>
      </c>
      <c r="K107" s="32">
        <f t="shared" si="14"/>
        <v>27.495354483312624</v>
      </c>
      <c r="L107" s="35">
        <f t="shared" si="13"/>
        <v>20</v>
      </c>
    </row>
    <row r="108" spans="2:12" x14ac:dyDescent="0.25">
      <c r="B108" s="31">
        <v>104</v>
      </c>
      <c r="C108" s="32">
        <f t="shared" si="11"/>
        <v>2.0800000000000014</v>
      </c>
      <c r="D108" s="35">
        <f t="shared" si="12"/>
        <v>80</v>
      </c>
      <c r="E108" s="32">
        <f t="shared" si="10"/>
        <v>72.49535448331261</v>
      </c>
      <c r="F108" s="32">
        <f t="shared" si="14"/>
        <v>64.992069606960854</v>
      </c>
      <c r="G108" s="32">
        <f t="shared" si="14"/>
        <v>57.488784730609098</v>
      </c>
      <c r="H108" s="32">
        <f t="shared" si="14"/>
        <v>49.988784730609098</v>
      </c>
      <c r="I108" s="32">
        <f t="shared" si="14"/>
        <v>42.488784730609105</v>
      </c>
      <c r="J108" s="32">
        <f t="shared" si="14"/>
        <v>34.992069606960868</v>
      </c>
      <c r="K108" s="32">
        <f t="shared" si="14"/>
        <v>27.495354483312624</v>
      </c>
      <c r="L108" s="35">
        <f t="shared" si="13"/>
        <v>20</v>
      </c>
    </row>
    <row r="109" spans="2:12" x14ac:dyDescent="0.25">
      <c r="B109" s="31">
        <v>105</v>
      </c>
      <c r="C109" s="32">
        <f t="shared" si="11"/>
        <v>2.1000000000000014</v>
      </c>
      <c r="D109" s="35">
        <f t="shared" si="12"/>
        <v>80</v>
      </c>
      <c r="E109" s="32">
        <f t="shared" si="10"/>
        <v>72.496034803480427</v>
      </c>
      <c r="F109" s="32">
        <f t="shared" si="14"/>
        <v>64.992069606960854</v>
      </c>
      <c r="G109" s="32">
        <f t="shared" si="14"/>
        <v>57.490427168784976</v>
      </c>
      <c r="H109" s="32">
        <f t="shared" si="14"/>
        <v>49.988784730609098</v>
      </c>
      <c r="I109" s="32">
        <f t="shared" si="14"/>
        <v>42.490427168784983</v>
      </c>
      <c r="J109" s="32">
        <f t="shared" si="14"/>
        <v>34.992069606960868</v>
      </c>
      <c r="K109" s="32">
        <f t="shared" si="14"/>
        <v>27.496034803480434</v>
      </c>
      <c r="L109" s="35">
        <f t="shared" si="13"/>
        <v>20</v>
      </c>
    </row>
    <row r="110" spans="2:12" x14ac:dyDescent="0.25">
      <c r="B110" s="31">
        <v>106</v>
      </c>
      <c r="C110" s="32">
        <f t="shared" si="11"/>
        <v>2.1200000000000014</v>
      </c>
      <c r="D110" s="35">
        <f t="shared" si="12"/>
        <v>80</v>
      </c>
      <c r="E110" s="32">
        <f t="shared" si="10"/>
        <v>72.496034803480427</v>
      </c>
      <c r="F110" s="32">
        <f t="shared" si="14"/>
        <v>64.993230986132701</v>
      </c>
      <c r="G110" s="32">
        <f t="shared" si="14"/>
        <v>57.490427168784976</v>
      </c>
      <c r="H110" s="32">
        <f t="shared" si="14"/>
        <v>49.990427168784976</v>
      </c>
      <c r="I110" s="32">
        <f t="shared" si="14"/>
        <v>42.490427168784983</v>
      </c>
      <c r="J110" s="32">
        <f t="shared" si="14"/>
        <v>34.993230986132708</v>
      </c>
      <c r="K110" s="32">
        <f t="shared" si="14"/>
        <v>27.496034803480434</v>
      </c>
      <c r="L110" s="35">
        <f t="shared" si="13"/>
        <v>20</v>
      </c>
    </row>
    <row r="111" spans="2:12" x14ac:dyDescent="0.25">
      <c r="B111" s="31">
        <v>107</v>
      </c>
      <c r="C111" s="32">
        <f t="shared" si="11"/>
        <v>2.1400000000000015</v>
      </c>
      <c r="D111" s="35">
        <f t="shared" si="12"/>
        <v>80</v>
      </c>
      <c r="E111" s="32">
        <f t="shared" si="10"/>
        <v>72.496615493066344</v>
      </c>
      <c r="F111" s="32">
        <f t="shared" si="14"/>
        <v>64.993230986132701</v>
      </c>
      <c r="G111" s="32">
        <f t="shared" si="14"/>
        <v>57.491829077458839</v>
      </c>
      <c r="H111" s="32">
        <f t="shared" si="14"/>
        <v>49.990427168784976</v>
      </c>
      <c r="I111" s="32">
        <f t="shared" si="14"/>
        <v>42.491829077458846</v>
      </c>
      <c r="J111" s="32">
        <f t="shared" si="14"/>
        <v>34.993230986132708</v>
      </c>
      <c r="K111" s="32">
        <f t="shared" si="14"/>
        <v>27.496615493066354</v>
      </c>
      <c r="L111" s="35">
        <f t="shared" si="13"/>
        <v>20</v>
      </c>
    </row>
    <row r="112" spans="2:12" x14ac:dyDescent="0.25">
      <c r="B112" s="31">
        <v>108</v>
      </c>
      <c r="C112" s="32">
        <f t="shared" si="11"/>
        <v>2.1600000000000015</v>
      </c>
      <c r="D112" s="35">
        <f t="shared" si="12"/>
        <v>80</v>
      </c>
      <c r="E112" s="32">
        <f t="shared" si="10"/>
        <v>72.496615493066344</v>
      </c>
      <c r="F112" s="32">
        <f t="shared" si="14"/>
        <v>64.994222285262595</v>
      </c>
      <c r="G112" s="32">
        <f t="shared" si="14"/>
        <v>57.491829077458839</v>
      </c>
      <c r="H112" s="32">
        <f t="shared" si="14"/>
        <v>49.991829077458846</v>
      </c>
      <c r="I112" s="32">
        <f t="shared" si="14"/>
        <v>42.491829077458846</v>
      </c>
      <c r="J112" s="32">
        <f t="shared" si="14"/>
        <v>34.994222285262602</v>
      </c>
      <c r="K112" s="32">
        <f t="shared" si="14"/>
        <v>27.496615493066354</v>
      </c>
      <c r="L112" s="35">
        <f t="shared" si="13"/>
        <v>20</v>
      </c>
    </row>
    <row r="113" spans="2:12" x14ac:dyDescent="0.25">
      <c r="B113" s="31">
        <v>109</v>
      </c>
      <c r="C113" s="32">
        <f t="shared" si="11"/>
        <v>2.1800000000000015</v>
      </c>
      <c r="D113" s="35">
        <f t="shared" si="12"/>
        <v>80</v>
      </c>
      <c r="E113" s="32">
        <f t="shared" si="10"/>
        <v>72.497111142631297</v>
      </c>
      <c r="F113" s="32">
        <f t="shared" si="14"/>
        <v>64.994222285262595</v>
      </c>
      <c r="G113" s="32">
        <f t="shared" si="14"/>
        <v>57.49302568136072</v>
      </c>
      <c r="H113" s="32">
        <f t="shared" si="14"/>
        <v>49.991829077458846</v>
      </c>
      <c r="I113" s="32">
        <f t="shared" si="14"/>
        <v>42.49302568136072</v>
      </c>
      <c r="J113" s="32">
        <f t="shared" si="14"/>
        <v>34.994222285262602</v>
      </c>
      <c r="K113" s="32">
        <f t="shared" si="14"/>
        <v>27.497111142631301</v>
      </c>
      <c r="L113" s="35">
        <f t="shared" si="13"/>
        <v>20</v>
      </c>
    </row>
    <row r="114" spans="2:12" x14ac:dyDescent="0.25">
      <c r="B114" s="31">
        <v>110</v>
      </c>
      <c r="C114" s="32">
        <f t="shared" si="11"/>
        <v>2.2000000000000015</v>
      </c>
      <c r="D114" s="35">
        <f t="shared" si="12"/>
        <v>80</v>
      </c>
      <c r="E114" s="32">
        <f t="shared" si="10"/>
        <v>72.497111142631297</v>
      </c>
      <c r="F114" s="32">
        <f t="shared" si="14"/>
        <v>64.995068411996016</v>
      </c>
      <c r="G114" s="32">
        <f t="shared" si="14"/>
        <v>57.49302568136072</v>
      </c>
      <c r="H114" s="32">
        <f t="shared" si="14"/>
        <v>49.99302568136072</v>
      </c>
      <c r="I114" s="32">
        <f t="shared" si="14"/>
        <v>42.49302568136072</v>
      </c>
      <c r="J114" s="32">
        <f t="shared" si="14"/>
        <v>34.995068411996009</v>
      </c>
      <c r="K114" s="32">
        <f t="shared" si="14"/>
        <v>27.497111142631301</v>
      </c>
      <c r="L114" s="35">
        <f t="shared" si="13"/>
        <v>20</v>
      </c>
    </row>
    <row r="115" spans="2:12" x14ac:dyDescent="0.25">
      <c r="B115" s="31">
        <v>111</v>
      </c>
      <c r="C115" s="32">
        <f t="shared" si="11"/>
        <v>2.2200000000000015</v>
      </c>
      <c r="D115" s="35">
        <f t="shared" si="12"/>
        <v>80</v>
      </c>
      <c r="E115" s="32">
        <f t="shared" si="10"/>
        <v>72.497534205998008</v>
      </c>
      <c r="F115" s="32">
        <f t="shared" si="14"/>
        <v>64.995068411996016</v>
      </c>
      <c r="G115" s="32">
        <f t="shared" si="14"/>
        <v>57.494047046678368</v>
      </c>
      <c r="H115" s="32">
        <f t="shared" si="14"/>
        <v>49.99302568136072</v>
      </c>
      <c r="I115" s="32">
        <f t="shared" si="14"/>
        <v>42.494047046678361</v>
      </c>
      <c r="J115" s="32">
        <f t="shared" si="14"/>
        <v>34.995068411996009</v>
      </c>
      <c r="K115" s="32">
        <f t="shared" si="14"/>
        <v>27.497534205998004</v>
      </c>
      <c r="L115" s="35">
        <f t="shared" si="13"/>
        <v>20</v>
      </c>
    </row>
    <row r="116" spans="2:12" x14ac:dyDescent="0.25">
      <c r="B116" s="31">
        <v>112</v>
      </c>
      <c r="C116" s="32">
        <f t="shared" si="11"/>
        <v>2.2400000000000015</v>
      </c>
      <c r="D116" s="35">
        <f t="shared" si="12"/>
        <v>80</v>
      </c>
      <c r="E116" s="32">
        <f t="shared" si="10"/>
        <v>72.497534205998008</v>
      </c>
      <c r="F116" s="32">
        <f t="shared" si="14"/>
        <v>64.995790626338191</v>
      </c>
      <c r="G116" s="32">
        <f t="shared" si="14"/>
        <v>57.494047046678368</v>
      </c>
      <c r="H116" s="32">
        <f t="shared" si="14"/>
        <v>49.994047046678361</v>
      </c>
      <c r="I116" s="32">
        <f t="shared" si="14"/>
        <v>42.494047046678361</v>
      </c>
      <c r="J116" s="32">
        <f t="shared" si="14"/>
        <v>34.995790626338184</v>
      </c>
      <c r="K116" s="32">
        <f t="shared" si="14"/>
        <v>27.497534205998004</v>
      </c>
      <c r="L116" s="35">
        <f t="shared" si="13"/>
        <v>20</v>
      </c>
    </row>
    <row r="117" spans="2:12" x14ac:dyDescent="0.25">
      <c r="B117" s="31">
        <v>113</v>
      </c>
      <c r="C117" s="32">
        <f t="shared" si="11"/>
        <v>2.2600000000000016</v>
      </c>
      <c r="D117" s="35">
        <f t="shared" si="12"/>
        <v>80</v>
      </c>
      <c r="E117" s="32">
        <f t="shared" si="10"/>
        <v>72.497895313169096</v>
      </c>
      <c r="F117" s="32">
        <f t="shared" si="10"/>
        <v>64.995790626338191</v>
      </c>
      <c r="G117" s="32">
        <f t="shared" si="10"/>
        <v>57.494918836508276</v>
      </c>
      <c r="H117" s="32">
        <f t="shared" si="10"/>
        <v>49.994047046678361</v>
      </c>
      <c r="I117" s="32">
        <f t="shared" si="10"/>
        <v>42.494918836508276</v>
      </c>
      <c r="J117" s="32">
        <f t="shared" si="10"/>
        <v>34.995790626338184</v>
      </c>
      <c r="K117" s="32">
        <f t="shared" si="10"/>
        <v>27.497895313169092</v>
      </c>
      <c r="L117" s="35">
        <f t="shared" si="13"/>
        <v>20</v>
      </c>
    </row>
    <row r="118" spans="2:12" x14ac:dyDescent="0.25">
      <c r="B118" s="31">
        <v>114</v>
      </c>
      <c r="C118" s="32">
        <f t="shared" si="11"/>
        <v>2.2800000000000016</v>
      </c>
      <c r="D118" s="35">
        <f t="shared" si="12"/>
        <v>80</v>
      </c>
      <c r="E118" s="32">
        <f t="shared" ref="E118:K120" si="15">(D117+F117)/2</f>
        <v>72.497895313169096</v>
      </c>
      <c r="F118" s="32">
        <f t="shared" si="15"/>
        <v>64.996407074838686</v>
      </c>
      <c r="G118" s="32">
        <f t="shared" si="15"/>
        <v>57.494918836508276</v>
      </c>
      <c r="H118" s="32">
        <f t="shared" si="15"/>
        <v>49.994918836508276</v>
      </c>
      <c r="I118" s="32">
        <f t="shared" si="15"/>
        <v>42.494918836508276</v>
      </c>
      <c r="J118" s="32">
        <f t="shared" si="15"/>
        <v>34.996407074838686</v>
      </c>
      <c r="K118" s="32">
        <f t="shared" si="15"/>
        <v>27.497895313169092</v>
      </c>
      <c r="L118" s="35">
        <f t="shared" si="13"/>
        <v>20</v>
      </c>
    </row>
    <row r="119" spans="2:12" x14ac:dyDescent="0.25">
      <c r="B119" s="31">
        <v>115</v>
      </c>
      <c r="C119" s="32">
        <f t="shared" si="11"/>
        <v>2.3000000000000016</v>
      </c>
      <c r="D119" s="35">
        <f t="shared" si="12"/>
        <v>80</v>
      </c>
      <c r="E119" s="32">
        <f t="shared" si="15"/>
        <v>72.498203537419343</v>
      </c>
      <c r="F119" s="32">
        <f t="shared" si="15"/>
        <v>64.996407074838686</v>
      </c>
      <c r="G119" s="32">
        <f t="shared" si="15"/>
        <v>57.495662955673481</v>
      </c>
      <c r="H119" s="32">
        <f t="shared" si="15"/>
        <v>49.994918836508276</v>
      </c>
      <c r="I119" s="32">
        <f t="shared" si="15"/>
        <v>42.495662955673481</v>
      </c>
      <c r="J119" s="32">
        <f t="shared" si="15"/>
        <v>34.996407074838686</v>
      </c>
      <c r="K119" s="32">
        <f t="shared" si="15"/>
        <v>27.498203537419343</v>
      </c>
      <c r="L119" s="35">
        <f t="shared" si="13"/>
        <v>20</v>
      </c>
    </row>
    <row r="120" spans="2:12" x14ac:dyDescent="0.25">
      <c r="B120" s="33">
        <v>116</v>
      </c>
      <c r="C120" s="34">
        <f t="shared" si="11"/>
        <v>2.3200000000000016</v>
      </c>
      <c r="D120" s="36">
        <f t="shared" si="12"/>
        <v>80</v>
      </c>
      <c r="E120" s="34">
        <f t="shared" si="15"/>
        <v>72.498203537419343</v>
      </c>
      <c r="F120" s="34">
        <f t="shared" si="15"/>
        <v>64.996933246546405</v>
      </c>
      <c r="G120" s="34">
        <f t="shared" si="15"/>
        <v>57.495662955673481</v>
      </c>
      <c r="H120" s="34">
        <f t="shared" si="15"/>
        <v>49.995662955673481</v>
      </c>
      <c r="I120" s="34">
        <f t="shared" si="15"/>
        <v>42.495662955673481</v>
      </c>
      <c r="J120" s="34">
        <f t="shared" si="15"/>
        <v>34.996933246546412</v>
      </c>
      <c r="K120" s="34">
        <f t="shared" si="15"/>
        <v>27.498203537419343</v>
      </c>
      <c r="L120" s="36">
        <f t="shared" si="13"/>
        <v>20</v>
      </c>
    </row>
    <row r="121" spans="2:12" x14ac:dyDescent="0.25"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</row>
    <row r="122" spans="2:12" x14ac:dyDescent="0.25"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spans="2:12" x14ac:dyDescent="0.25"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spans="2:12" x14ac:dyDescent="0.25"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spans="2:12" x14ac:dyDescent="0.25"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spans="2:12" x14ac:dyDescent="0.25"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</row>
    <row r="127" spans="2:12" x14ac:dyDescent="0.25"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</row>
    <row r="138" spans="2:13" x14ac:dyDescent="0.25">
      <c r="B138" s="7" t="s">
        <v>48</v>
      </c>
      <c r="C138" s="7">
        <v>0.2</v>
      </c>
      <c r="D138" s="7" t="s">
        <v>49</v>
      </c>
      <c r="E138" s="7">
        <v>0.02</v>
      </c>
    </row>
    <row r="139" spans="2:13" x14ac:dyDescent="0.25">
      <c r="B139" s="30" t="s">
        <v>46</v>
      </c>
      <c r="C139" s="30" t="s">
        <v>47</v>
      </c>
      <c r="D139" s="30">
        <v>0</v>
      </c>
      <c r="E139" s="30">
        <v>1</v>
      </c>
      <c r="F139" s="30">
        <v>2</v>
      </c>
      <c r="G139" s="30">
        <v>3</v>
      </c>
      <c r="H139" s="30">
        <v>4</v>
      </c>
      <c r="I139" s="30">
        <v>5</v>
      </c>
      <c r="J139" s="30">
        <v>6</v>
      </c>
      <c r="K139" s="30">
        <v>7</v>
      </c>
      <c r="L139" s="30">
        <v>8</v>
      </c>
      <c r="M139" s="7" t="s">
        <v>50</v>
      </c>
    </row>
    <row r="140" spans="2:13" x14ac:dyDescent="0.25">
      <c r="B140" s="31">
        <v>0</v>
      </c>
      <c r="C140" s="32">
        <v>0</v>
      </c>
      <c r="D140" s="35">
        <v>80</v>
      </c>
      <c r="E140" s="32">
        <v>15</v>
      </c>
      <c r="F140" s="32">
        <v>15</v>
      </c>
      <c r="G140" s="32">
        <v>15</v>
      </c>
      <c r="H140" s="32">
        <v>15</v>
      </c>
      <c r="I140" s="32">
        <v>15</v>
      </c>
      <c r="J140" s="32">
        <v>15</v>
      </c>
      <c r="K140" s="32">
        <v>15</v>
      </c>
      <c r="L140" s="32">
        <v>15</v>
      </c>
      <c r="M140" s="32">
        <f>L140</f>
        <v>15</v>
      </c>
    </row>
    <row r="141" spans="2:13" x14ac:dyDescent="0.25">
      <c r="B141" s="31">
        <v>1</v>
      </c>
      <c r="C141" s="32">
        <f>C140+$E$138</f>
        <v>0.02</v>
      </c>
      <c r="D141" s="35">
        <f>D140</f>
        <v>80</v>
      </c>
      <c r="E141" s="32">
        <f>(D140+F140)/2</f>
        <v>47.5</v>
      </c>
      <c r="F141" s="32">
        <f t="shared" ref="F141:L156" si="16">(E140+G140)/2</f>
        <v>15</v>
      </c>
      <c r="G141" s="32">
        <f t="shared" si="16"/>
        <v>15</v>
      </c>
      <c r="H141" s="32">
        <f t="shared" si="16"/>
        <v>15</v>
      </c>
      <c r="I141" s="32">
        <f t="shared" si="16"/>
        <v>15</v>
      </c>
      <c r="J141" s="32">
        <f t="shared" si="16"/>
        <v>15</v>
      </c>
      <c r="K141" s="32">
        <f t="shared" si="16"/>
        <v>15</v>
      </c>
      <c r="L141" s="32">
        <f t="shared" si="16"/>
        <v>15</v>
      </c>
      <c r="M141" s="32">
        <f t="shared" ref="M141:M204" si="17">L141</f>
        <v>15</v>
      </c>
    </row>
    <row r="142" spans="2:13" x14ac:dyDescent="0.25">
      <c r="B142" s="31">
        <v>2</v>
      </c>
      <c r="C142" s="32">
        <f t="shared" ref="C142:C205" si="18">C141+$E$138</f>
        <v>0.04</v>
      </c>
      <c r="D142" s="35">
        <f t="shared" ref="D142:D205" si="19">D141</f>
        <v>80</v>
      </c>
      <c r="E142" s="32">
        <f>(D141+F141)/2</f>
        <v>47.5</v>
      </c>
      <c r="F142" s="32">
        <f t="shared" si="16"/>
        <v>31.25</v>
      </c>
      <c r="G142" s="32">
        <f t="shared" si="16"/>
        <v>15</v>
      </c>
      <c r="H142" s="32">
        <f t="shared" si="16"/>
        <v>15</v>
      </c>
      <c r="I142" s="32">
        <f t="shared" si="16"/>
        <v>15</v>
      </c>
      <c r="J142" s="32">
        <f t="shared" si="16"/>
        <v>15</v>
      </c>
      <c r="K142" s="32">
        <f t="shared" si="16"/>
        <v>15</v>
      </c>
      <c r="L142" s="32">
        <f t="shared" si="16"/>
        <v>15</v>
      </c>
      <c r="M142" s="32">
        <f t="shared" si="17"/>
        <v>15</v>
      </c>
    </row>
    <row r="143" spans="2:13" x14ac:dyDescent="0.25">
      <c r="B143" s="31">
        <v>3</v>
      </c>
      <c r="C143" s="32">
        <f t="shared" si="18"/>
        <v>0.06</v>
      </c>
      <c r="D143" s="35">
        <f t="shared" si="19"/>
        <v>80</v>
      </c>
      <c r="E143" s="32">
        <f t="shared" ref="E143:L158" si="20">(D142+F142)/2</f>
        <v>55.625</v>
      </c>
      <c r="F143" s="32">
        <f t="shared" si="16"/>
        <v>31.25</v>
      </c>
      <c r="G143" s="32">
        <f t="shared" si="16"/>
        <v>23.125</v>
      </c>
      <c r="H143" s="32">
        <f t="shared" si="16"/>
        <v>15</v>
      </c>
      <c r="I143" s="32">
        <f t="shared" si="16"/>
        <v>15</v>
      </c>
      <c r="J143" s="32">
        <f t="shared" si="16"/>
        <v>15</v>
      </c>
      <c r="K143" s="32">
        <f t="shared" si="16"/>
        <v>15</v>
      </c>
      <c r="L143" s="32">
        <f t="shared" si="16"/>
        <v>15</v>
      </c>
      <c r="M143" s="32">
        <f t="shared" si="17"/>
        <v>15</v>
      </c>
    </row>
    <row r="144" spans="2:13" x14ac:dyDescent="0.25">
      <c r="B144" s="31">
        <v>4</v>
      </c>
      <c r="C144" s="32">
        <f t="shared" si="18"/>
        <v>0.08</v>
      </c>
      <c r="D144" s="35">
        <f t="shared" si="19"/>
        <v>80</v>
      </c>
      <c r="E144" s="32">
        <f t="shared" si="20"/>
        <v>55.625</v>
      </c>
      <c r="F144" s="32">
        <f t="shared" si="16"/>
        <v>39.375</v>
      </c>
      <c r="G144" s="32">
        <f t="shared" si="16"/>
        <v>23.125</v>
      </c>
      <c r="H144" s="32">
        <f t="shared" si="16"/>
        <v>19.0625</v>
      </c>
      <c r="I144" s="32">
        <f t="shared" si="16"/>
        <v>15</v>
      </c>
      <c r="J144" s="32">
        <f t="shared" si="16"/>
        <v>15</v>
      </c>
      <c r="K144" s="32">
        <f t="shared" si="16"/>
        <v>15</v>
      </c>
      <c r="L144" s="32">
        <f t="shared" si="16"/>
        <v>15</v>
      </c>
      <c r="M144" s="32">
        <f t="shared" si="17"/>
        <v>15</v>
      </c>
    </row>
    <row r="145" spans="2:13" x14ac:dyDescent="0.25">
      <c r="B145" s="31">
        <v>5</v>
      </c>
      <c r="C145" s="32">
        <f t="shared" si="18"/>
        <v>0.1</v>
      </c>
      <c r="D145" s="35">
        <f t="shared" si="19"/>
        <v>80</v>
      </c>
      <c r="E145" s="32">
        <f t="shared" si="20"/>
        <v>59.6875</v>
      </c>
      <c r="F145" s="32">
        <f t="shared" si="16"/>
        <v>39.375</v>
      </c>
      <c r="G145" s="32">
        <f t="shared" si="16"/>
        <v>29.21875</v>
      </c>
      <c r="H145" s="32">
        <f t="shared" si="16"/>
        <v>19.0625</v>
      </c>
      <c r="I145" s="32">
        <f t="shared" si="16"/>
        <v>17.03125</v>
      </c>
      <c r="J145" s="32">
        <f t="shared" si="16"/>
        <v>15</v>
      </c>
      <c r="K145" s="32">
        <f t="shared" si="16"/>
        <v>15</v>
      </c>
      <c r="L145" s="32">
        <f t="shared" si="16"/>
        <v>15</v>
      </c>
      <c r="M145" s="32">
        <f t="shared" si="17"/>
        <v>15</v>
      </c>
    </row>
    <row r="146" spans="2:13" x14ac:dyDescent="0.25">
      <c r="B146" s="31">
        <v>6</v>
      </c>
      <c r="C146" s="32">
        <f t="shared" si="18"/>
        <v>0.12000000000000001</v>
      </c>
      <c r="D146" s="35">
        <f t="shared" si="19"/>
        <v>80</v>
      </c>
      <c r="E146" s="32">
        <f t="shared" si="20"/>
        <v>59.6875</v>
      </c>
      <c r="F146" s="32">
        <f t="shared" si="16"/>
        <v>44.453125</v>
      </c>
      <c r="G146" s="32">
        <f t="shared" si="16"/>
        <v>29.21875</v>
      </c>
      <c r="H146" s="32">
        <f t="shared" si="16"/>
        <v>23.125</v>
      </c>
      <c r="I146" s="32">
        <f t="shared" si="16"/>
        <v>17.03125</v>
      </c>
      <c r="J146" s="32">
        <f t="shared" si="16"/>
        <v>16.015625</v>
      </c>
      <c r="K146" s="32">
        <f t="shared" si="16"/>
        <v>15</v>
      </c>
      <c r="L146" s="32">
        <f t="shared" si="16"/>
        <v>15</v>
      </c>
      <c r="M146" s="32">
        <f t="shared" si="17"/>
        <v>15</v>
      </c>
    </row>
    <row r="147" spans="2:13" x14ac:dyDescent="0.25">
      <c r="B147" s="31">
        <v>7</v>
      </c>
      <c r="C147" s="32">
        <f t="shared" si="18"/>
        <v>0.14000000000000001</v>
      </c>
      <c r="D147" s="35">
        <f t="shared" si="19"/>
        <v>80</v>
      </c>
      <c r="E147" s="32">
        <f t="shared" si="20"/>
        <v>62.2265625</v>
      </c>
      <c r="F147" s="32">
        <f t="shared" si="16"/>
        <v>44.453125</v>
      </c>
      <c r="G147" s="32">
        <f t="shared" si="16"/>
        <v>33.7890625</v>
      </c>
      <c r="H147" s="32">
        <f t="shared" si="16"/>
        <v>23.125</v>
      </c>
      <c r="I147" s="32">
        <f t="shared" si="16"/>
        <v>19.5703125</v>
      </c>
      <c r="J147" s="32">
        <f t="shared" si="16"/>
        <v>16.015625</v>
      </c>
      <c r="K147" s="32">
        <f t="shared" si="16"/>
        <v>15.5078125</v>
      </c>
      <c r="L147" s="32">
        <f t="shared" si="16"/>
        <v>15</v>
      </c>
      <c r="M147" s="32">
        <f t="shared" si="17"/>
        <v>15</v>
      </c>
    </row>
    <row r="148" spans="2:13" x14ac:dyDescent="0.25">
      <c r="B148" s="31">
        <v>8</v>
      </c>
      <c r="C148" s="32">
        <f t="shared" si="18"/>
        <v>0.16</v>
      </c>
      <c r="D148" s="35">
        <f t="shared" si="19"/>
        <v>80</v>
      </c>
      <c r="E148" s="32">
        <f t="shared" si="20"/>
        <v>62.2265625</v>
      </c>
      <c r="F148" s="32">
        <f t="shared" si="16"/>
        <v>48.0078125</v>
      </c>
      <c r="G148" s="32">
        <f t="shared" si="16"/>
        <v>33.7890625</v>
      </c>
      <c r="H148" s="32">
        <f t="shared" si="16"/>
        <v>26.6796875</v>
      </c>
      <c r="I148" s="32">
        <f t="shared" si="16"/>
        <v>19.5703125</v>
      </c>
      <c r="J148" s="32">
        <f t="shared" si="16"/>
        <v>17.5390625</v>
      </c>
      <c r="K148" s="32">
        <f t="shared" si="16"/>
        <v>15.5078125</v>
      </c>
      <c r="L148" s="32">
        <f t="shared" si="16"/>
        <v>15.25390625</v>
      </c>
      <c r="M148" s="32">
        <f t="shared" si="17"/>
        <v>15.25390625</v>
      </c>
    </row>
    <row r="149" spans="2:13" x14ac:dyDescent="0.25">
      <c r="B149" s="31">
        <v>9</v>
      </c>
      <c r="C149" s="32">
        <f t="shared" si="18"/>
        <v>0.18</v>
      </c>
      <c r="D149" s="35">
        <f t="shared" si="19"/>
        <v>80</v>
      </c>
      <c r="E149" s="32">
        <f t="shared" si="20"/>
        <v>64.00390625</v>
      </c>
      <c r="F149" s="32">
        <f t="shared" si="16"/>
        <v>48.0078125</v>
      </c>
      <c r="G149" s="32">
        <f t="shared" si="16"/>
        <v>37.34375</v>
      </c>
      <c r="H149" s="32">
        <f t="shared" si="16"/>
        <v>26.6796875</v>
      </c>
      <c r="I149" s="32">
        <f t="shared" si="16"/>
        <v>22.109375</v>
      </c>
      <c r="J149" s="32">
        <f t="shared" si="16"/>
        <v>17.5390625</v>
      </c>
      <c r="K149" s="32">
        <f t="shared" si="16"/>
        <v>16.396484375</v>
      </c>
      <c r="L149" s="32">
        <f t="shared" si="16"/>
        <v>15.380859375</v>
      </c>
      <c r="M149" s="32">
        <f t="shared" si="17"/>
        <v>15.380859375</v>
      </c>
    </row>
    <row r="150" spans="2:13" x14ac:dyDescent="0.25">
      <c r="B150" s="31">
        <v>10</v>
      </c>
      <c r="C150" s="32">
        <f t="shared" si="18"/>
        <v>0.19999999999999998</v>
      </c>
      <c r="D150" s="35">
        <f t="shared" si="19"/>
        <v>80</v>
      </c>
      <c r="E150" s="32">
        <f t="shared" si="20"/>
        <v>64.00390625</v>
      </c>
      <c r="F150" s="32">
        <f t="shared" si="16"/>
        <v>50.673828125</v>
      </c>
      <c r="G150" s="32">
        <f t="shared" si="16"/>
        <v>37.34375</v>
      </c>
      <c r="H150" s="32">
        <f t="shared" si="16"/>
        <v>29.7265625</v>
      </c>
      <c r="I150" s="32">
        <f t="shared" si="16"/>
        <v>22.109375</v>
      </c>
      <c r="J150" s="32">
        <f t="shared" si="16"/>
        <v>19.2529296875</v>
      </c>
      <c r="K150" s="32">
        <f t="shared" si="16"/>
        <v>16.4599609375</v>
      </c>
      <c r="L150" s="32">
        <f t="shared" si="16"/>
        <v>15.888671875</v>
      </c>
      <c r="M150" s="32">
        <f t="shared" si="17"/>
        <v>15.888671875</v>
      </c>
    </row>
    <row r="151" spans="2:13" x14ac:dyDescent="0.25">
      <c r="B151" s="31">
        <v>11</v>
      </c>
      <c r="C151" s="32">
        <f t="shared" si="18"/>
        <v>0.21999999999999997</v>
      </c>
      <c r="D151" s="35">
        <f t="shared" si="19"/>
        <v>80</v>
      </c>
      <c r="E151" s="32">
        <f t="shared" si="20"/>
        <v>65.3369140625</v>
      </c>
      <c r="F151" s="32">
        <f t="shared" si="16"/>
        <v>50.673828125</v>
      </c>
      <c r="G151" s="32">
        <f t="shared" si="16"/>
        <v>40.2001953125</v>
      </c>
      <c r="H151" s="32">
        <f t="shared" si="16"/>
        <v>29.7265625</v>
      </c>
      <c r="I151" s="32">
        <f t="shared" si="16"/>
        <v>24.48974609375</v>
      </c>
      <c r="J151" s="32">
        <f t="shared" si="16"/>
        <v>19.28466796875</v>
      </c>
      <c r="K151" s="32">
        <f t="shared" si="16"/>
        <v>17.57080078125</v>
      </c>
      <c r="L151" s="32">
        <f t="shared" si="16"/>
        <v>16.17431640625</v>
      </c>
      <c r="M151" s="32">
        <f t="shared" si="17"/>
        <v>16.17431640625</v>
      </c>
    </row>
    <row r="152" spans="2:13" x14ac:dyDescent="0.25">
      <c r="B152" s="31">
        <v>12</v>
      </c>
      <c r="C152" s="32">
        <f t="shared" si="18"/>
        <v>0.23999999999999996</v>
      </c>
      <c r="D152" s="35">
        <f t="shared" si="19"/>
        <v>80</v>
      </c>
      <c r="E152" s="32">
        <f t="shared" si="20"/>
        <v>65.3369140625</v>
      </c>
      <c r="F152" s="32">
        <f t="shared" si="16"/>
        <v>52.7685546875</v>
      </c>
      <c r="G152" s="32">
        <f t="shared" si="16"/>
        <v>40.2001953125</v>
      </c>
      <c r="H152" s="32">
        <f t="shared" si="16"/>
        <v>32.344970703125</v>
      </c>
      <c r="I152" s="32">
        <f t="shared" si="16"/>
        <v>24.505615234375</v>
      </c>
      <c r="J152" s="32">
        <f t="shared" si="16"/>
        <v>21.0302734375</v>
      </c>
      <c r="K152" s="32">
        <f t="shared" si="16"/>
        <v>17.7294921875</v>
      </c>
      <c r="L152" s="32">
        <f t="shared" si="16"/>
        <v>16.87255859375</v>
      </c>
      <c r="M152" s="32">
        <f t="shared" si="17"/>
        <v>16.87255859375</v>
      </c>
    </row>
    <row r="153" spans="2:13" x14ac:dyDescent="0.25">
      <c r="B153" s="31">
        <v>13</v>
      </c>
      <c r="C153" s="32">
        <f t="shared" si="18"/>
        <v>0.25999999999999995</v>
      </c>
      <c r="D153" s="35">
        <f t="shared" si="19"/>
        <v>80</v>
      </c>
      <c r="E153" s="32">
        <f t="shared" si="20"/>
        <v>66.38427734375</v>
      </c>
      <c r="F153" s="32">
        <f t="shared" si="16"/>
        <v>52.7685546875</v>
      </c>
      <c r="G153" s="32">
        <f t="shared" si="16"/>
        <v>42.5567626953125</v>
      </c>
      <c r="H153" s="32">
        <f t="shared" si="16"/>
        <v>32.3529052734375</v>
      </c>
      <c r="I153" s="32">
        <f t="shared" si="16"/>
        <v>26.6876220703125</v>
      </c>
      <c r="J153" s="32">
        <f t="shared" si="16"/>
        <v>21.1175537109375</v>
      </c>
      <c r="K153" s="32">
        <f t="shared" si="16"/>
        <v>18.951416015625</v>
      </c>
      <c r="L153" s="32">
        <f t="shared" si="16"/>
        <v>17.301025390625</v>
      </c>
      <c r="M153" s="32">
        <f t="shared" si="17"/>
        <v>17.301025390625</v>
      </c>
    </row>
    <row r="154" spans="2:13" x14ac:dyDescent="0.25">
      <c r="B154" s="31">
        <v>14</v>
      </c>
      <c r="C154" s="32">
        <f t="shared" si="18"/>
        <v>0.27999999999999997</v>
      </c>
      <c r="D154" s="35">
        <f t="shared" si="19"/>
        <v>80</v>
      </c>
      <c r="E154" s="32">
        <f t="shared" si="20"/>
        <v>66.38427734375</v>
      </c>
      <c r="F154" s="32">
        <f t="shared" si="16"/>
        <v>54.47052001953125</v>
      </c>
      <c r="G154" s="32">
        <f t="shared" si="16"/>
        <v>42.56072998046875</v>
      </c>
      <c r="H154" s="32">
        <f t="shared" si="16"/>
        <v>34.6221923828125</v>
      </c>
      <c r="I154" s="32">
        <f t="shared" si="16"/>
        <v>26.7352294921875</v>
      </c>
      <c r="J154" s="32">
        <f t="shared" si="16"/>
        <v>22.81951904296875</v>
      </c>
      <c r="K154" s="32">
        <f t="shared" si="16"/>
        <v>19.20928955078125</v>
      </c>
      <c r="L154" s="32">
        <f t="shared" si="16"/>
        <v>18.126220703125</v>
      </c>
      <c r="M154" s="32">
        <f t="shared" si="17"/>
        <v>18.126220703125</v>
      </c>
    </row>
    <row r="155" spans="2:13" x14ac:dyDescent="0.25">
      <c r="B155" s="31">
        <v>15</v>
      </c>
      <c r="C155" s="32">
        <f t="shared" si="18"/>
        <v>0.3</v>
      </c>
      <c r="D155" s="35">
        <f t="shared" si="19"/>
        <v>80</v>
      </c>
      <c r="E155" s="32">
        <f t="shared" si="20"/>
        <v>67.235260009765625</v>
      </c>
      <c r="F155" s="32">
        <f t="shared" si="16"/>
        <v>54.472503662109375</v>
      </c>
      <c r="G155" s="32">
        <f t="shared" si="16"/>
        <v>44.546356201171875</v>
      </c>
      <c r="H155" s="32">
        <f t="shared" si="16"/>
        <v>34.647979736328125</v>
      </c>
      <c r="I155" s="32">
        <f t="shared" si="16"/>
        <v>28.720855712890625</v>
      </c>
      <c r="J155" s="32">
        <f t="shared" si="16"/>
        <v>22.972259521484375</v>
      </c>
      <c r="K155" s="32">
        <f t="shared" si="16"/>
        <v>20.472869873046875</v>
      </c>
      <c r="L155" s="32">
        <f t="shared" si="16"/>
        <v>18.667755126953125</v>
      </c>
      <c r="M155" s="32">
        <f t="shared" si="17"/>
        <v>18.667755126953125</v>
      </c>
    </row>
    <row r="156" spans="2:13" x14ac:dyDescent="0.25">
      <c r="B156" s="31">
        <v>16</v>
      </c>
      <c r="C156" s="32">
        <f t="shared" si="18"/>
        <v>0.32</v>
      </c>
      <c r="D156" s="35">
        <f t="shared" si="19"/>
        <v>80</v>
      </c>
      <c r="E156" s="32">
        <f t="shared" si="20"/>
        <v>67.236251831054688</v>
      </c>
      <c r="F156" s="32">
        <f t="shared" si="16"/>
        <v>55.89080810546875</v>
      </c>
      <c r="G156" s="32">
        <f t="shared" si="16"/>
        <v>44.56024169921875</v>
      </c>
      <c r="H156" s="32">
        <f t="shared" si="16"/>
        <v>36.63360595703125</v>
      </c>
      <c r="I156" s="32">
        <f t="shared" si="16"/>
        <v>28.81011962890625</v>
      </c>
      <c r="J156" s="32">
        <f t="shared" si="16"/>
        <v>24.59686279296875</v>
      </c>
      <c r="K156" s="32">
        <f t="shared" si="16"/>
        <v>20.82000732421875</v>
      </c>
      <c r="L156" s="32">
        <f t="shared" si="16"/>
        <v>19.5703125</v>
      </c>
      <c r="M156" s="32">
        <f t="shared" si="17"/>
        <v>19.5703125</v>
      </c>
    </row>
    <row r="157" spans="2:13" x14ac:dyDescent="0.25">
      <c r="B157" s="31">
        <v>17</v>
      </c>
      <c r="C157" s="32">
        <f t="shared" si="18"/>
        <v>0.34</v>
      </c>
      <c r="D157" s="35">
        <f t="shared" si="19"/>
        <v>80</v>
      </c>
      <c r="E157" s="32">
        <f t="shared" si="20"/>
        <v>67.945404052734375</v>
      </c>
      <c r="F157" s="32">
        <f t="shared" si="20"/>
        <v>55.898246765136719</v>
      </c>
      <c r="G157" s="32">
        <f t="shared" si="20"/>
        <v>46.26220703125</v>
      </c>
      <c r="H157" s="32">
        <f t="shared" si="20"/>
        <v>36.6851806640625</v>
      </c>
      <c r="I157" s="32">
        <f t="shared" si="20"/>
        <v>30.615234375</v>
      </c>
      <c r="J157" s="32">
        <f t="shared" si="20"/>
        <v>24.8150634765625</v>
      </c>
      <c r="K157" s="32">
        <f t="shared" si="20"/>
        <v>22.083587646484375</v>
      </c>
      <c r="L157" s="32">
        <f t="shared" si="20"/>
        <v>20.195159912109375</v>
      </c>
      <c r="M157" s="32">
        <f t="shared" si="17"/>
        <v>20.195159912109375</v>
      </c>
    </row>
    <row r="158" spans="2:13" x14ac:dyDescent="0.25">
      <c r="B158" s="31">
        <v>18</v>
      </c>
      <c r="C158" s="32">
        <f t="shared" si="18"/>
        <v>0.36000000000000004</v>
      </c>
      <c r="D158" s="35">
        <f t="shared" si="19"/>
        <v>80</v>
      </c>
      <c r="E158" s="32">
        <f t="shared" si="20"/>
        <v>67.949123382568359</v>
      </c>
      <c r="F158" s="32">
        <f t="shared" si="20"/>
        <v>57.103805541992188</v>
      </c>
      <c r="G158" s="32">
        <f t="shared" si="20"/>
        <v>46.291713714599609</v>
      </c>
      <c r="H158" s="32">
        <f t="shared" si="20"/>
        <v>38.438720703125</v>
      </c>
      <c r="I158" s="32">
        <f t="shared" si="20"/>
        <v>30.7501220703125</v>
      </c>
      <c r="J158" s="32">
        <f t="shared" si="20"/>
        <v>26.349411010742188</v>
      </c>
      <c r="K158" s="32">
        <f t="shared" si="20"/>
        <v>22.505111694335938</v>
      </c>
      <c r="L158" s="32">
        <f t="shared" si="20"/>
        <v>21.139373779296875</v>
      </c>
      <c r="M158" s="32">
        <f t="shared" si="17"/>
        <v>21.139373779296875</v>
      </c>
    </row>
    <row r="159" spans="2:13" x14ac:dyDescent="0.25">
      <c r="B159" s="31">
        <v>19</v>
      </c>
      <c r="C159" s="32">
        <f t="shared" si="18"/>
        <v>0.38000000000000006</v>
      </c>
      <c r="D159" s="35">
        <f t="shared" si="19"/>
        <v>80</v>
      </c>
      <c r="E159" s="32">
        <f t="shared" ref="E159:K195" si="21">(D158+F158)/2</f>
        <v>68.551902770996094</v>
      </c>
      <c r="F159" s="32">
        <f t="shared" si="21"/>
        <v>57.120418548583984</v>
      </c>
      <c r="G159" s="32">
        <f t="shared" si="21"/>
        <v>47.771263122558594</v>
      </c>
      <c r="H159" s="32">
        <f t="shared" si="21"/>
        <v>38.520917892456055</v>
      </c>
      <c r="I159" s="32">
        <f t="shared" si="21"/>
        <v>32.394065856933594</v>
      </c>
      <c r="J159" s="32">
        <f t="shared" si="21"/>
        <v>26.627616882324219</v>
      </c>
      <c r="K159" s="32">
        <f t="shared" si="21"/>
        <v>23.744392395019531</v>
      </c>
      <c r="L159" s="32">
        <f t="shared" ref="L159:L222" si="22">(K158+M158)/2</f>
        <v>21.822242736816406</v>
      </c>
      <c r="M159" s="32">
        <f t="shared" si="17"/>
        <v>21.822242736816406</v>
      </c>
    </row>
    <row r="160" spans="2:13" x14ac:dyDescent="0.25">
      <c r="B160" s="31">
        <v>20</v>
      </c>
      <c r="C160" s="32">
        <f t="shared" si="18"/>
        <v>0.40000000000000008</v>
      </c>
      <c r="D160" s="35">
        <f t="shared" si="19"/>
        <v>80</v>
      </c>
      <c r="E160" s="32">
        <f t="shared" si="21"/>
        <v>68.560209274291992</v>
      </c>
      <c r="F160" s="32">
        <f t="shared" si="21"/>
        <v>58.161582946777344</v>
      </c>
      <c r="G160" s="32">
        <f t="shared" si="21"/>
        <v>47.82066822052002</v>
      </c>
      <c r="H160" s="32">
        <f t="shared" si="21"/>
        <v>40.082664489746094</v>
      </c>
      <c r="I160" s="32">
        <f t="shared" si="21"/>
        <v>32.574267387390137</v>
      </c>
      <c r="J160" s="32">
        <f t="shared" si="21"/>
        <v>28.069229125976563</v>
      </c>
      <c r="K160" s="32">
        <f t="shared" si="21"/>
        <v>24.224929809570313</v>
      </c>
      <c r="L160" s="32">
        <f t="shared" si="22"/>
        <v>22.783317565917969</v>
      </c>
      <c r="M160" s="32">
        <f t="shared" si="17"/>
        <v>22.783317565917969</v>
      </c>
    </row>
    <row r="161" spans="2:13" x14ac:dyDescent="0.25">
      <c r="B161" s="31">
        <v>21</v>
      </c>
      <c r="C161" s="32">
        <f t="shared" si="18"/>
        <v>0.4200000000000001</v>
      </c>
      <c r="D161" s="35">
        <f t="shared" si="19"/>
        <v>80</v>
      </c>
      <c r="E161" s="32">
        <f t="shared" si="21"/>
        <v>69.080791473388672</v>
      </c>
      <c r="F161" s="32">
        <f t="shared" si="21"/>
        <v>58.190438747406006</v>
      </c>
      <c r="G161" s="32">
        <f t="shared" si="21"/>
        <v>49.122123718261719</v>
      </c>
      <c r="H161" s="32">
        <f t="shared" si="21"/>
        <v>40.197467803955078</v>
      </c>
      <c r="I161" s="32">
        <f t="shared" si="21"/>
        <v>34.075946807861328</v>
      </c>
      <c r="J161" s="32">
        <f t="shared" si="21"/>
        <v>28.399598598480225</v>
      </c>
      <c r="K161" s="32">
        <f t="shared" si="21"/>
        <v>25.426273345947266</v>
      </c>
      <c r="L161" s="32">
        <f t="shared" si="22"/>
        <v>23.504123687744141</v>
      </c>
      <c r="M161" s="32">
        <f t="shared" si="17"/>
        <v>23.504123687744141</v>
      </c>
    </row>
    <row r="162" spans="2:13" x14ac:dyDescent="0.25">
      <c r="B162" s="31">
        <v>22</v>
      </c>
      <c r="C162" s="32">
        <f t="shared" si="18"/>
        <v>0.44000000000000011</v>
      </c>
      <c r="D162" s="35">
        <f t="shared" si="19"/>
        <v>80</v>
      </c>
      <c r="E162" s="32">
        <f t="shared" si="21"/>
        <v>69.095219373703003</v>
      </c>
      <c r="F162" s="32">
        <f t="shared" si="21"/>
        <v>59.101457595825195</v>
      </c>
      <c r="G162" s="32">
        <f t="shared" si="21"/>
        <v>49.193953275680542</v>
      </c>
      <c r="H162" s="32">
        <f t="shared" si="21"/>
        <v>41.599035263061523</v>
      </c>
      <c r="I162" s="32">
        <f t="shared" si="21"/>
        <v>34.298533201217651</v>
      </c>
      <c r="J162" s="32">
        <f t="shared" si="21"/>
        <v>29.751110076904297</v>
      </c>
      <c r="K162" s="32">
        <f t="shared" si="21"/>
        <v>25.951861143112183</v>
      </c>
      <c r="L162" s="32">
        <f t="shared" si="22"/>
        <v>24.465198516845703</v>
      </c>
      <c r="M162" s="32">
        <f t="shared" si="17"/>
        <v>24.465198516845703</v>
      </c>
    </row>
    <row r="163" spans="2:13" x14ac:dyDescent="0.25">
      <c r="B163" s="31">
        <v>23</v>
      </c>
      <c r="C163" s="32">
        <f t="shared" si="18"/>
        <v>0.46000000000000013</v>
      </c>
      <c r="D163" s="35">
        <f t="shared" si="19"/>
        <v>80</v>
      </c>
      <c r="E163" s="32">
        <f t="shared" si="21"/>
        <v>69.550728797912598</v>
      </c>
      <c r="F163" s="32">
        <f t="shared" si="21"/>
        <v>59.144586324691772</v>
      </c>
      <c r="G163" s="32">
        <f t="shared" si="21"/>
        <v>50.350246429443359</v>
      </c>
      <c r="H163" s="32">
        <f t="shared" si="21"/>
        <v>41.746243238449097</v>
      </c>
      <c r="I163" s="32">
        <f t="shared" si="21"/>
        <v>35.67507266998291</v>
      </c>
      <c r="J163" s="32">
        <f t="shared" si="21"/>
        <v>30.125197172164917</v>
      </c>
      <c r="K163" s="32">
        <f t="shared" si="21"/>
        <v>27.108154296875</v>
      </c>
      <c r="L163" s="32">
        <f t="shared" si="22"/>
        <v>25.208529829978943</v>
      </c>
      <c r="M163" s="32">
        <f t="shared" si="17"/>
        <v>25.208529829978943</v>
      </c>
    </row>
    <row r="164" spans="2:13" x14ac:dyDescent="0.25">
      <c r="B164" s="31">
        <v>24</v>
      </c>
      <c r="C164" s="32">
        <f t="shared" si="18"/>
        <v>0.48000000000000015</v>
      </c>
      <c r="D164" s="35">
        <f t="shared" si="19"/>
        <v>80</v>
      </c>
      <c r="E164" s="32">
        <f t="shared" si="21"/>
        <v>69.572293162345886</v>
      </c>
      <c r="F164" s="32">
        <f t="shared" si="21"/>
        <v>59.950487613677979</v>
      </c>
      <c r="G164" s="32">
        <f t="shared" si="21"/>
        <v>50.445414781570435</v>
      </c>
      <c r="H164" s="32">
        <f t="shared" si="21"/>
        <v>43.012659549713135</v>
      </c>
      <c r="I164" s="32">
        <f t="shared" si="21"/>
        <v>35.935720205307007</v>
      </c>
      <c r="J164" s="32">
        <f t="shared" si="21"/>
        <v>31.391613483428955</v>
      </c>
      <c r="K164" s="32">
        <f t="shared" si="21"/>
        <v>27.66686350107193</v>
      </c>
      <c r="L164" s="32">
        <f t="shared" si="22"/>
        <v>26.158342063426971</v>
      </c>
      <c r="M164" s="32">
        <f t="shared" si="17"/>
        <v>26.158342063426971</v>
      </c>
    </row>
    <row r="165" spans="2:13" x14ac:dyDescent="0.25">
      <c r="B165" s="31">
        <v>25</v>
      </c>
      <c r="C165" s="32">
        <f t="shared" si="18"/>
        <v>0.50000000000000011</v>
      </c>
      <c r="D165" s="35">
        <f t="shared" si="19"/>
        <v>80</v>
      </c>
      <c r="E165" s="32">
        <f t="shared" si="21"/>
        <v>69.975243806838989</v>
      </c>
      <c r="F165" s="32">
        <f t="shared" si="21"/>
        <v>60.00885397195816</v>
      </c>
      <c r="G165" s="32">
        <f t="shared" si="21"/>
        <v>51.481573581695557</v>
      </c>
      <c r="H165" s="32">
        <f t="shared" si="21"/>
        <v>43.190567493438721</v>
      </c>
      <c r="I165" s="32">
        <f t="shared" si="21"/>
        <v>37.202136516571045</v>
      </c>
      <c r="J165" s="32">
        <f t="shared" si="21"/>
        <v>31.801291853189468</v>
      </c>
      <c r="K165" s="32">
        <f t="shared" si="21"/>
        <v>28.774977773427963</v>
      </c>
      <c r="L165" s="32">
        <f t="shared" si="22"/>
        <v>26.912602782249451</v>
      </c>
      <c r="M165" s="32">
        <f t="shared" si="17"/>
        <v>26.912602782249451</v>
      </c>
    </row>
    <row r="166" spans="2:13" x14ac:dyDescent="0.25">
      <c r="B166" s="31">
        <v>26</v>
      </c>
      <c r="C166" s="32">
        <f t="shared" si="18"/>
        <v>0.52000000000000013</v>
      </c>
      <c r="D166" s="35">
        <f t="shared" si="19"/>
        <v>80</v>
      </c>
      <c r="E166" s="32">
        <f t="shared" si="21"/>
        <v>70.00442698597908</v>
      </c>
      <c r="F166" s="32">
        <f t="shared" si="21"/>
        <v>60.728408694267273</v>
      </c>
      <c r="G166" s="32">
        <f t="shared" si="21"/>
        <v>51.599710732698441</v>
      </c>
      <c r="H166" s="32">
        <f t="shared" si="21"/>
        <v>44.341855049133301</v>
      </c>
      <c r="I166" s="32">
        <f t="shared" si="21"/>
        <v>37.495929673314095</v>
      </c>
      <c r="J166" s="32">
        <f t="shared" si="21"/>
        <v>32.988557144999504</v>
      </c>
      <c r="K166" s="32">
        <f t="shared" si="21"/>
        <v>29.35694731771946</v>
      </c>
      <c r="L166" s="32">
        <f t="shared" si="22"/>
        <v>27.843790277838707</v>
      </c>
      <c r="M166" s="32">
        <f t="shared" si="17"/>
        <v>27.843790277838707</v>
      </c>
    </row>
    <row r="167" spans="2:13" x14ac:dyDescent="0.25">
      <c r="B167" s="31">
        <v>27</v>
      </c>
      <c r="C167" s="32">
        <f t="shared" si="18"/>
        <v>0.54000000000000015</v>
      </c>
      <c r="D167" s="35">
        <f t="shared" si="19"/>
        <v>80</v>
      </c>
      <c r="E167" s="32">
        <f t="shared" si="21"/>
        <v>70.364204347133636</v>
      </c>
      <c r="F167" s="32">
        <f t="shared" si="21"/>
        <v>60.80206885933876</v>
      </c>
      <c r="G167" s="32">
        <f t="shared" si="21"/>
        <v>52.535131871700287</v>
      </c>
      <c r="H167" s="32">
        <f t="shared" si="21"/>
        <v>44.547820203006268</v>
      </c>
      <c r="I167" s="32">
        <f t="shared" si="21"/>
        <v>38.665206097066402</v>
      </c>
      <c r="J167" s="32">
        <f t="shared" si="21"/>
        <v>33.426438495516777</v>
      </c>
      <c r="K167" s="32">
        <f t="shared" si="21"/>
        <v>30.416173711419106</v>
      </c>
      <c r="L167" s="32">
        <f t="shared" si="22"/>
        <v>28.600368797779083</v>
      </c>
      <c r="M167" s="32">
        <f t="shared" si="17"/>
        <v>28.600368797779083</v>
      </c>
    </row>
    <row r="168" spans="2:13" x14ac:dyDescent="0.25">
      <c r="B168" s="31">
        <v>28</v>
      </c>
      <c r="C168" s="32">
        <f t="shared" si="18"/>
        <v>0.56000000000000016</v>
      </c>
      <c r="D168" s="35">
        <f t="shared" si="19"/>
        <v>80</v>
      </c>
      <c r="E168" s="32">
        <f t="shared" si="21"/>
        <v>70.40103442966938</v>
      </c>
      <c r="F168" s="32">
        <f t="shared" si="21"/>
        <v>61.449668109416962</v>
      </c>
      <c r="G168" s="32">
        <f t="shared" si="21"/>
        <v>52.674944531172514</v>
      </c>
      <c r="H168" s="32">
        <f t="shared" si="21"/>
        <v>45.600168984383345</v>
      </c>
      <c r="I168" s="32">
        <f t="shared" si="21"/>
        <v>38.987129349261522</v>
      </c>
      <c r="J168" s="32">
        <f t="shared" si="21"/>
        <v>34.540689904242754</v>
      </c>
      <c r="K168" s="32">
        <f t="shared" si="21"/>
        <v>31.01340364664793</v>
      </c>
      <c r="L168" s="32">
        <f t="shared" si="22"/>
        <v>29.508271254599094</v>
      </c>
      <c r="M168" s="32">
        <f t="shared" si="17"/>
        <v>29.508271254599094</v>
      </c>
    </row>
    <row r="169" spans="2:13" x14ac:dyDescent="0.25">
      <c r="B169" s="31">
        <v>29</v>
      </c>
      <c r="C169" s="32">
        <f t="shared" si="18"/>
        <v>0.58000000000000018</v>
      </c>
      <c r="D169" s="35">
        <f t="shared" si="19"/>
        <v>80</v>
      </c>
      <c r="E169" s="32">
        <f t="shared" si="21"/>
        <v>70.724834054708481</v>
      </c>
      <c r="F169" s="32">
        <f t="shared" si="21"/>
        <v>61.537989480420947</v>
      </c>
      <c r="G169" s="32">
        <f t="shared" si="21"/>
        <v>53.524918546900153</v>
      </c>
      <c r="H169" s="32">
        <f t="shared" si="21"/>
        <v>45.831036940217018</v>
      </c>
      <c r="I169" s="32">
        <f t="shared" si="21"/>
        <v>40.070429444313049</v>
      </c>
      <c r="J169" s="32">
        <f t="shared" si="21"/>
        <v>35.000266497954726</v>
      </c>
      <c r="K169" s="32">
        <f t="shared" si="21"/>
        <v>32.024480579420924</v>
      </c>
      <c r="L169" s="32">
        <f t="shared" si="22"/>
        <v>30.260837450623512</v>
      </c>
      <c r="M169" s="32">
        <f t="shared" si="17"/>
        <v>30.260837450623512</v>
      </c>
    </row>
    <row r="170" spans="2:13" x14ac:dyDescent="0.25">
      <c r="B170" s="31">
        <v>30</v>
      </c>
      <c r="C170" s="32">
        <f t="shared" si="18"/>
        <v>0.6000000000000002</v>
      </c>
      <c r="D170" s="35">
        <f t="shared" si="19"/>
        <v>80</v>
      </c>
      <c r="E170" s="32">
        <f t="shared" si="21"/>
        <v>70.768994740210474</v>
      </c>
      <c r="F170" s="32">
        <f t="shared" si="21"/>
        <v>62.124876300804317</v>
      </c>
      <c r="G170" s="32">
        <f t="shared" si="21"/>
        <v>53.684513210318983</v>
      </c>
      <c r="H170" s="32">
        <f t="shared" si="21"/>
        <v>46.797673995606601</v>
      </c>
      <c r="I170" s="32">
        <f t="shared" si="21"/>
        <v>40.415651719085872</v>
      </c>
      <c r="J170" s="32">
        <f t="shared" si="21"/>
        <v>36.047455011866987</v>
      </c>
      <c r="K170" s="32">
        <f t="shared" si="21"/>
        <v>32.630551974289119</v>
      </c>
      <c r="L170" s="32">
        <f t="shared" si="22"/>
        <v>31.142659015022218</v>
      </c>
      <c r="M170" s="32">
        <f t="shared" si="17"/>
        <v>31.142659015022218</v>
      </c>
    </row>
    <row r="171" spans="2:13" x14ac:dyDescent="0.25">
      <c r="B171" s="31">
        <v>31</v>
      </c>
      <c r="C171" s="32">
        <f t="shared" si="18"/>
        <v>0.62000000000000022</v>
      </c>
      <c r="D171" s="35">
        <f t="shared" si="19"/>
        <v>80</v>
      </c>
      <c r="E171" s="32">
        <f t="shared" si="21"/>
        <v>71.062438150402158</v>
      </c>
      <c r="F171" s="32">
        <f t="shared" si="21"/>
        <v>62.226753975264728</v>
      </c>
      <c r="G171" s="32">
        <f t="shared" si="21"/>
        <v>54.461275148205459</v>
      </c>
      <c r="H171" s="32">
        <f t="shared" si="21"/>
        <v>47.050082464702427</v>
      </c>
      <c r="I171" s="32">
        <f t="shared" si="21"/>
        <v>41.422564503736794</v>
      </c>
      <c r="J171" s="32">
        <f t="shared" si="21"/>
        <v>36.523101846687496</v>
      </c>
      <c r="K171" s="32">
        <f t="shared" si="21"/>
        <v>33.595057013444602</v>
      </c>
      <c r="L171" s="32">
        <f t="shared" si="22"/>
        <v>31.886605494655669</v>
      </c>
      <c r="M171" s="32">
        <f t="shared" si="17"/>
        <v>31.886605494655669</v>
      </c>
    </row>
    <row r="172" spans="2:13" x14ac:dyDescent="0.25">
      <c r="B172" s="31">
        <v>32</v>
      </c>
      <c r="C172" s="32">
        <f t="shared" si="18"/>
        <v>0.64000000000000024</v>
      </c>
      <c r="D172" s="35">
        <f t="shared" si="19"/>
        <v>80</v>
      </c>
      <c r="E172" s="32">
        <f t="shared" si="21"/>
        <v>71.113376987632364</v>
      </c>
      <c r="F172" s="32">
        <f t="shared" si="21"/>
        <v>62.761856649303809</v>
      </c>
      <c r="G172" s="32">
        <f t="shared" si="21"/>
        <v>54.638418219983578</v>
      </c>
      <c r="H172" s="32">
        <f t="shared" si="21"/>
        <v>47.941919825971127</v>
      </c>
      <c r="I172" s="32">
        <f t="shared" si="21"/>
        <v>41.786592155694962</v>
      </c>
      <c r="J172" s="32">
        <f t="shared" si="21"/>
        <v>37.508810758590698</v>
      </c>
      <c r="K172" s="32">
        <f t="shared" si="21"/>
        <v>34.204853670671582</v>
      </c>
      <c r="L172" s="32">
        <f t="shared" si="22"/>
        <v>32.740831254050136</v>
      </c>
      <c r="M172" s="32">
        <f t="shared" si="17"/>
        <v>32.740831254050136</v>
      </c>
    </row>
    <row r="173" spans="2:13" x14ac:dyDescent="0.25">
      <c r="B173" s="31">
        <v>33</v>
      </c>
      <c r="C173" s="32">
        <f t="shared" si="18"/>
        <v>0.66000000000000025</v>
      </c>
      <c r="D173" s="35">
        <f t="shared" si="19"/>
        <v>80</v>
      </c>
      <c r="E173" s="32">
        <f t="shared" si="21"/>
        <v>71.380928324651904</v>
      </c>
      <c r="F173" s="32">
        <f t="shared" si="21"/>
        <v>62.875897603807971</v>
      </c>
      <c r="G173" s="32">
        <f t="shared" si="21"/>
        <v>55.351888237637468</v>
      </c>
      <c r="H173" s="32">
        <f t="shared" si="21"/>
        <v>48.21250518783927</v>
      </c>
      <c r="I173" s="32">
        <f t="shared" si="21"/>
        <v>42.725365292280912</v>
      </c>
      <c r="J173" s="32">
        <f t="shared" si="21"/>
        <v>37.995722913183272</v>
      </c>
      <c r="K173" s="32">
        <f t="shared" si="21"/>
        <v>35.124821006320417</v>
      </c>
      <c r="L173" s="32">
        <f t="shared" si="22"/>
        <v>33.472842462360859</v>
      </c>
      <c r="M173" s="32">
        <f t="shared" si="17"/>
        <v>33.472842462360859</v>
      </c>
    </row>
    <row r="174" spans="2:13" x14ac:dyDescent="0.25">
      <c r="B174" s="31">
        <v>34</v>
      </c>
      <c r="C174" s="32">
        <f t="shared" si="18"/>
        <v>0.68000000000000027</v>
      </c>
      <c r="D174" s="35">
        <f t="shared" si="19"/>
        <v>80</v>
      </c>
      <c r="E174" s="32">
        <f t="shared" si="21"/>
        <v>71.437948801903985</v>
      </c>
      <c r="F174" s="32">
        <f t="shared" si="21"/>
        <v>63.366408281144686</v>
      </c>
      <c r="G174" s="32">
        <f t="shared" si="21"/>
        <v>55.54420139582362</v>
      </c>
      <c r="H174" s="32">
        <f t="shared" si="21"/>
        <v>49.03862676495919</v>
      </c>
      <c r="I174" s="32">
        <f t="shared" si="21"/>
        <v>43.104114050511271</v>
      </c>
      <c r="J174" s="32">
        <f t="shared" si="21"/>
        <v>38.925093149300665</v>
      </c>
      <c r="K174" s="32">
        <f t="shared" si="21"/>
        <v>35.734282687772065</v>
      </c>
      <c r="L174" s="32">
        <f t="shared" si="22"/>
        <v>34.298831734340638</v>
      </c>
      <c r="M174" s="32">
        <f t="shared" si="17"/>
        <v>34.298831734340638</v>
      </c>
    </row>
    <row r="175" spans="2:13" x14ac:dyDescent="0.25">
      <c r="B175" s="31">
        <v>35</v>
      </c>
      <c r="C175" s="32">
        <f t="shared" si="18"/>
        <v>0.70000000000000029</v>
      </c>
      <c r="D175" s="35">
        <f t="shared" si="19"/>
        <v>80</v>
      </c>
      <c r="E175" s="32">
        <f t="shared" si="21"/>
        <v>71.683204140572343</v>
      </c>
      <c r="F175" s="32">
        <f t="shared" si="21"/>
        <v>63.491075098863803</v>
      </c>
      <c r="G175" s="32">
        <f t="shared" si="21"/>
        <v>56.202517523051938</v>
      </c>
      <c r="H175" s="32">
        <f t="shared" si="21"/>
        <v>49.324157723167446</v>
      </c>
      <c r="I175" s="32">
        <f t="shared" si="21"/>
        <v>43.981859957129927</v>
      </c>
      <c r="J175" s="32">
        <f t="shared" si="21"/>
        <v>39.419198369141668</v>
      </c>
      <c r="K175" s="32">
        <f t="shared" si="21"/>
        <v>36.611962441820651</v>
      </c>
      <c r="L175" s="32">
        <f t="shared" si="22"/>
        <v>35.016557211056352</v>
      </c>
      <c r="M175" s="32">
        <f t="shared" si="17"/>
        <v>35.016557211056352</v>
      </c>
    </row>
    <row r="176" spans="2:13" x14ac:dyDescent="0.25">
      <c r="B176" s="31">
        <v>36</v>
      </c>
      <c r="C176" s="32">
        <f t="shared" si="18"/>
        <v>0.72000000000000031</v>
      </c>
      <c r="D176" s="35">
        <f t="shared" si="19"/>
        <v>80</v>
      </c>
      <c r="E176" s="32">
        <f t="shared" si="21"/>
        <v>71.745537549431901</v>
      </c>
      <c r="F176" s="32">
        <f t="shared" si="21"/>
        <v>63.942860831812141</v>
      </c>
      <c r="G176" s="32">
        <f t="shared" si="21"/>
        <v>56.407616411015624</v>
      </c>
      <c r="H176" s="32">
        <f t="shared" si="21"/>
        <v>50.092188740090933</v>
      </c>
      <c r="I176" s="32">
        <f t="shared" si="21"/>
        <v>44.371678046154557</v>
      </c>
      <c r="J176" s="32">
        <f t="shared" si="21"/>
        <v>40.296911199475289</v>
      </c>
      <c r="K176" s="32">
        <f t="shared" si="21"/>
        <v>37.21787779009901</v>
      </c>
      <c r="L176" s="32">
        <f t="shared" si="22"/>
        <v>35.814259826438501</v>
      </c>
      <c r="M176" s="32">
        <f t="shared" si="17"/>
        <v>35.814259826438501</v>
      </c>
    </row>
    <row r="177" spans="2:13" x14ac:dyDescent="0.25">
      <c r="B177" s="31">
        <v>37</v>
      </c>
      <c r="C177" s="32">
        <f t="shared" si="18"/>
        <v>0.74000000000000032</v>
      </c>
      <c r="D177" s="35">
        <f t="shared" si="19"/>
        <v>80</v>
      </c>
      <c r="E177" s="32">
        <f t="shared" si="21"/>
        <v>71.97143041590607</v>
      </c>
      <c r="F177" s="32">
        <f t="shared" si="21"/>
        <v>64.076576980223763</v>
      </c>
      <c r="G177" s="32">
        <f t="shared" si="21"/>
        <v>57.017524785951537</v>
      </c>
      <c r="H177" s="32">
        <f t="shared" si="21"/>
        <v>50.38964722858509</v>
      </c>
      <c r="I177" s="32">
        <f t="shared" si="21"/>
        <v>45.194549969783111</v>
      </c>
      <c r="J177" s="32">
        <f t="shared" si="21"/>
        <v>40.794777918126783</v>
      </c>
      <c r="K177" s="32">
        <f t="shared" si="21"/>
        <v>38.055585512956895</v>
      </c>
      <c r="L177" s="32">
        <f t="shared" si="22"/>
        <v>36.516068808268756</v>
      </c>
      <c r="M177" s="32">
        <f t="shared" si="17"/>
        <v>36.516068808268756</v>
      </c>
    </row>
    <row r="178" spans="2:13" x14ac:dyDescent="0.25">
      <c r="B178" s="31">
        <v>38</v>
      </c>
      <c r="C178" s="32">
        <f t="shared" si="18"/>
        <v>0.76000000000000034</v>
      </c>
      <c r="D178" s="35">
        <f t="shared" si="19"/>
        <v>80</v>
      </c>
      <c r="E178" s="32">
        <f t="shared" si="21"/>
        <v>72.038288490111881</v>
      </c>
      <c r="F178" s="32">
        <f t="shared" si="21"/>
        <v>64.494477600928803</v>
      </c>
      <c r="G178" s="32">
        <f t="shared" si="21"/>
        <v>57.233112104404427</v>
      </c>
      <c r="H178" s="32">
        <f t="shared" si="21"/>
        <v>51.106037377867324</v>
      </c>
      <c r="I178" s="32">
        <f t="shared" si="21"/>
        <v>45.592212573355937</v>
      </c>
      <c r="J178" s="32">
        <f t="shared" si="21"/>
        <v>41.625067741370003</v>
      </c>
      <c r="K178" s="32">
        <f t="shared" si="21"/>
        <v>38.65542336319777</v>
      </c>
      <c r="L178" s="32">
        <f t="shared" si="22"/>
        <v>37.285827160612826</v>
      </c>
      <c r="M178" s="32">
        <f t="shared" si="17"/>
        <v>37.285827160612826</v>
      </c>
    </row>
    <row r="179" spans="2:13" x14ac:dyDescent="0.25">
      <c r="B179" s="31">
        <v>39</v>
      </c>
      <c r="C179" s="32">
        <f t="shared" si="18"/>
        <v>0.78000000000000036</v>
      </c>
      <c r="D179" s="35">
        <f t="shared" si="19"/>
        <v>80</v>
      </c>
      <c r="E179" s="32">
        <f t="shared" si="21"/>
        <v>72.247238800464402</v>
      </c>
      <c r="F179" s="32">
        <f t="shared" si="21"/>
        <v>64.635700297258154</v>
      </c>
      <c r="G179" s="32">
        <f t="shared" si="21"/>
        <v>57.800257489398064</v>
      </c>
      <c r="H179" s="32">
        <f t="shared" si="21"/>
        <v>51.412662338880182</v>
      </c>
      <c r="I179" s="32">
        <f t="shared" si="21"/>
        <v>46.365552559618664</v>
      </c>
      <c r="J179" s="32">
        <f t="shared" si="21"/>
        <v>42.123817968276853</v>
      </c>
      <c r="K179" s="32">
        <f t="shared" si="21"/>
        <v>39.455447450991414</v>
      </c>
      <c r="L179" s="32">
        <f t="shared" si="22"/>
        <v>37.970625261905298</v>
      </c>
      <c r="M179" s="32">
        <f t="shared" si="17"/>
        <v>37.970625261905298</v>
      </c>
    </row>
    <row r="180" spans="2:13" x14ac:dyDescent="0.25">
      <c r="B180" s="31">
        <v>40</v>
      </c>
      <c r="C180" s="32">
        <f t="shared" si="18"/>
        <v>0.80000000000000038</v>
      </c>
      <c r="D180" s="35">
        <f t="shared" si="19"/>
        <v>80</v>
      </c>
      <c r="E180" s="32">
        <f t="shared" si="21"/>
        <v>72.317850148629077</v>
      </c>
      <c r="F180" s="32">
        <f t="shared" si="21"/>
        <v>65.023748144931233</v>
      </c>
      <c r="G180" s="32">
        <f t="shared" si="21"/>
        <v>58.024181318069168</v>
      </c>
      <c r="H180" s="32">
        <f t="shared" si="21"/>
        <v>52.082905024508364</v>
      </c>
      <c r="I180" s="32">
        <f t="shared" si="21"/>
        <v>46.768240153578517</v>
      </c>
      <c r="J180" s="32">
        <f t="shared" si="21"/>
        <v>42.910500005305039</v>
      </c>
      <c r="K180" s="32">
        <f t="shared" si="21"/>
        <v>40.047221615091075</v>
      </c>
      <c r="L180" s="32">
        <f t="shared" si="22"/>
        <v>38.713036356448356</v>
      </c>
      <c r="M180" s="32">
        <f t="shared" si="17"/>
        <v>38.713036356448356</v>
      </c>
    </row>
    <row r="181" spans="2:13" x14ac:dyDescent="0.25">
      <c r="B181" s="31">
        <v>41</v>
      </c>
      <c r="C181" s="32">
        <f t="shared" si="18"/>
        <v>0.8200000000000004</v>
      </c>
      <c r="D181" s="35">
        <f t="shared" si="19"/>
        <v>80</v>
      </c>
      <c r="E181" s="32">
        <f t="shared" si="21"/>
        <v>72.511874072465616</v>
      </c>
      <c r="F181" s="32">
        <f t="shared" si="21"/>
        <v>65.171015733349122</v>
      </c>
      <c r="G181" s="32">
        <f t="shared" si="21"/>
        <v>58.553326584719798</v>
      </c>
      <c r="H181" s="32">
        <f t="shared" si="21"/>
        <v>52.396210735823843</v>
      </c>
      <c r="I181" s="32">
        <f t="shared" si="21"/>
        <v>47.496702514906701</v>
      </c>
      <c r="J181" s="32">
        <f t="shared" si="21"/>
        <v>43.407730884334796</v>
      </c>
      <c r="K181" s="32">
        <f t="shared" si="21"/>
        <v>40.811768180876697</v>
      </c>
      <c r="L181" s="32">
        <f t="shared" si="22"/>
        <v>39.380128985769716</v>
      </c>
      <c r="M181" s="32">
        <f t="shared" si="17"/>
        <v>39.380128985769716</v>
      </c>
    </row>
    <row r="182" spans="2:13" x14ac:dyDescent="0.25">
      <c r="B182" s="31">
        <v>42</v>
      </c>
      <c r="C182" s="32">
        <f t="shared" si="18"/>
        <v>0.84000000000000041</v>
      </c>
      <c r="D182" s="35">
        <f t="shared" si="19"/>
        <v>80</v>
      </c>
      <c r="E182" s="32">
        <f t="shared" si="21"/>
        <v>72.585507866674561</v>
      </c>
      <c r="F182" s="32">
        <f t="shared" si="21"/>
        <v>65.532600328592707</v>
      </c>
      <c r="G182" s="32">
        <f t="shared" si="21"/>
        <v>58.783613234586483</v>
      </c>
      <c r="H182" s="32">
        <f t="shared" si="21"/>
        <v>53.02501454981325</v>
      </c>
      <c r="I182" s="32">
        <f t="shared" si="21"/>
        <v>47.90197081007932</v>
      </c>
      <c r="J182" s="32">
        <f t="shared" si="21"/>
        <v>44.154235347891699</v>
      </c>
      <c r="K182" s="32">
        <f t="shared" si="21"/>
        <v>41.393929935052256</v>
      </c>
      <c r="L182" s="32">
        <f t="shared" si="22"/>
        <v>40.095948583323207</v>
      </c>
      <c r="M182" s="32">
        <f t="shared" si="17"/>
        <v>40.095948583323207</v>
      </c>
    </row>
    <row r="183" spans="2:13" x14ac:dyDescent="0.25">
      <c r="B183" s="31">
        <v>43</v>
      </c>
      <c r="C183" s="32">
        <f t="shared" si="18"/>
        <v>0.86000000000000043</v>
      </c>
      <c r="D183" s="35">
        <f t="shared" si="19"/>
        <v>80</v>
      </c>
      <c r="E183" s="32">
        <f t="shared" si="21"/>
        <v>72.766300164296354</v>
      </c>
      <c r="F183" s="32">
        <f t="shared" si="21"/>
        <v>65.684560550630522</v>
      </c>
      <c r="G183" s="32">
        <f t="shared" si="21"/>
        <v>59.278807439202978</v>
      </c>
      <c r="H183" s="32">
        <f t="shared" si="21"/>
        <v>53.342792022332901</v>
      </c>
      <c r="I183" s="32">
        <f t="shared" si="21"/>
        <v>48.589624948852475</v>
      </c>
      <c r="J183" s="32">
        <f t="shared" si="21"/>
        <v>44.647950372565788</v>
      </c>
      <c r="K183" s="32">
        <f t="shared" si="21"/>
        <v>42.125091965607453</v>
      </c>
      <c r="L183" s="32">
        <f t="shared" si="22"/>
        <v>40.744939259187731</v>
      </c>
      <c r="M183" s="32">
        <f t="shared" si="17"/>
        <v>40.744939259187731</v>
      </c>
    </row>
    <row r="184" spans="2:13" x14ac:dyDescent="0.25">
      <c r="B184" s="31">
        <v>44</v>
      </c>
      <c r="C184" s="32">
        <f t="shared" si="18"/>
        <v>0.88000000000000045</v>
      </c>
      <c r="D184" s="35">
        <f t="shared" si="19"/>
        <v>80</v>
      </c>
      <c r="E184" s="32">
        <f t="shared" si="21"/>
        <v>72.842280275315261</v>
      </c>
      <c r="F184" s="32">
        <f t="shared" si="21"/>
        <v>66.022553801749666</v>
      </c>
      <c r="G184" s="32">
        <f t="shared" si="21"/>
        <v>59.513676286481711</v>
      </c>
      <c r="H184" s="32">
        <f t="shared" si="21"/>
        <v>53.934216194027726</v>
      </c>
      <c r="I184" s="32">
        <f t="shared" si="21"/>
        <v>48.995371197449344</v>
      </c>
      <c r="J184" s="32">
        <f t="shared" si="21"/>
        <v>45.357358457229964</v>
      </c>
      <c r="K184" s="32">
        <f t="shared" si="21"/>
        <v>42.69644481587676</v>
      </c>
      <c r="L184" s="32">
        <f t="shared" si="22"/>
        <v>41.435015612397592</v>
      </c>
      <c r="M184" s="32">
        <f t="shared" si="17"/>
        <v>41.435015612397592</v>
      </c>
    </row>
    <row r="185" spans="2:13" x14ac:dyDescent="0.25">
      <c r="B185" s="31">
        <v>45</v>
      </c>
      <c r="C185" s="32">
        <f t="shared" si="18"/>
        <v>0.90000000000000047</v>
      </c>
      <c r="D185" s="35">
        <f t="shared" si="19"/>
        <v>80</v>
      </c>
      <c r="E185" s="32">
        <f t="shared" si="21"/>
        <v>73.011276900874833</v>
      </c>
      <c r="F185" s="32">
        <f t="shared" si="21"/>
        <v>66.177978280898486</v>
      </c>
      <c r="G185" s="32">
        <f t="shared" si="21"/>
        <v>59.978384997888696</v>
      </c>
      <c r="H185" s="32">
        <f t="shared" si="21"/>
        <v>54.254523741965528</v>
      </c>
      <c r="I185" s="32">
        <f t="shared" si="21"/>
        <v>49.645787325628845</v>
      </c>
      <c r="J185" s="32">
        <f t="shared" si="21"/>
        <v>45.845908006663052</v>
      </c>
      <c r="K185" s="32">
        <f t="shared" si="21"/>
        <v>43.396187034813778</v>
      </c>
      <c r="L185" s="32">
        <f t="shared" si="22"/>
        <v>42.065730214137176</v>
      </c>
      <c r="M185" s="32">
        <f t="shared" si="17"/>
        <v>42.065730214137176</v>
      </c>
    </row>
    <row r="186" spans="2:13" x14ac:dyDescent="0.25">
      <c r="B186" s="31">
        <v>46</v>
      </c>
      <c r="C186" s="32">
        <f t="shared" si="18"/>
        <v>0.92000000000000048</v>
      </c>
      <c r="D186" s="35">
        <f t="shared" si="19"/>
        <v>80</v>
      </c>
      <c r="E186" s="32">
        <f t="shared" si="21"/>
        <v>73.088989140449243</v>
      </c>
      <c r="F186" s="32">
        <f t="shared" si="21"/>
        <v>66.494830949381765</v>
      </c>
      <c r="G186" s="32">
        <f t="shared" si="21"/>
        <v>60.216251011432007</v>
      </c>
      <c r="H186" s="32">
        <f t="shared" si="21"/>
        <v>54.812086161758771</v>
      </c>
      <c r="I186" s="32">
        <f t="shared" si="21"/>
        <v>50.05021587431429</v>
      </c>
      <c r="J186" s="32">
        <f t="shared" si="21"/>
        <v>46.520987180221312</v>
      </c>
      <c r="K186" s="32">
        <f t="shared" si="21"/>
        <v>43.955819110400114</v>
      </c>
      <c r="L186" s="32">
        <f t="shared" si="22"/>
        <v>42.730958624475477</v>
      </c>
      <c r="M186" s="32">
        <f t="shared" si="17"/>
        <v>42.730958624475477</v>
      </c>
    </row>
    <row r="187" spans="2:13" x14ac:dyDescent="0.25">
      <c r="B187" s="31">
        <v>47</v>
      </c>
      <c r="C187" s="32">
        <f t="shared" si="18"/>
        <v>0.9400000000000005</v>
      </c>
      <c r="D187" s="35">
        <f t="shared" si="19"/>
        <v>80</v>
      </c>
      <c r="E187" s="32">
        <f t="shared" si="21"/>
        <v>73.247415474690882</v>
      </c>
      <c r="F187" s="32">
        <f t="shared" si="21"/>
        <v>66.652620075940632</v>
      </c>
      <c r="G187" s="32">
        <f t="shared" si="21"/>
        <v>60.653458555570268</v>
      </c>
      <c r="H187" s="32">
        <f t="shared" si="21"/>
        <v>55.133233442873149</v>
      </c>
      <c r="I187" s="32">
        <f t="shared" si="21"/>
        <v>50.666536670990041</v>
      </c>
      <c r="J187" s="32">
        <f t="shared" si="21"/>
        <v>47.003017492357202</v>
      </c>
      <c r="K187" s="32">
        <f t="shared" si="21"/>
        <v>44.625972902348394</v>
      </c>
      <c r="L187" s="32">
        <f t="shared" si="22"/>
        <v>43.343388867437795</v>
      </c>
      <c r="M187" s="32">
        <f t="shared" si="17"/>
        <v>43.343388867437795</v>
      </c>
    </row>
    <row r="188" spans="2:13" x14ac:dyDescent="0.25">
      <c r="B188" s="31">
        <v>48</v>
      </c>
      <c r="C188" s="32">
        <f t="shared" si="18"/>
        <v>0.96000000000000052</v>
      </c>
      <c r="D188" s="35">
        <f t="shared" si="19"/>
        <v>80</v>
      </c>
      <c r="E188" s="32">
        <f t="shared" si="21"/>
        <v>73.326310037970316</v>
      </c>
      <c r="F188" s="32">
        <f t="shared" si="21"/>
        <v>66.950437015130575</v>
      </c>
      <c r="G188" s="32">
        <f t="shared" si="21"/>
        <v>60.89292675940689</v>
      </c>
      <c r="H188" s="32">
        <f t="shared" si="21"/>
        <v>55.659997613280154</v>
      </c>
      <c r="I188" s="32">
        <f t="shared" si="21"/>
        <v>51.068125467615175</v>
      </c>
      <c r="J188" s="32">
        <f t="shared" si="21"/>
        <v>47.646254786669218</v>
      </c>
      <c r="K188" s="32">
        <f t="shared" si="21"/>
        <v>45.173203179897499</v>
      </c>
      <c r="L188" s="32">
        <f t="shared" si="22"/>
        <v>43.984680884893095</v>
      </c>
      <c r="M188" s="32">
        <f t="shared" si="17"/>
        <v>43.984680884893095</v>
      </c>
    </row>
    <row r="189" spans="2:13" x14ac:dyDescent="0.25">
      <c r="B189" s="31">
        <v>49</v>
      </c>
      <c r="C189" s="32">
        <f t="shared" si="18"/>
        <v>0.98000000000000054</v>
      </c>
      <c r="D189" s="35">
        <f t="shared" si="19"/>
        <v>80</v>
      </c>
      <c r="E189" s="32">
        <f t="shared" si="21"/>
        <v>73.475218507565287</v>
      </c>
      <c r="F189" s="32">
        <f t="shared" si="21"/>
        <v>67.10961839868861</v>
      </c>
      <c r="G189" s="32">
        <f t="shared" si="21"/>
        <v>61.305217314205365</v>
      </c>
      <c r="H189" s="32">
        <f t="shared" si="21"/>
        <v>55.980526113511033</v>
      </c>
      <c r="I189" s="32">
        <f t="shared" si="21"/>
        <v>51.653126199974686</v>
      </c>
      <c r="J189" s="32">
        <f t="shared" si="21"/>
        <v>48.120664323756337</v>
      </c>
      <c r="K189" s="32">
        <f t="shared" si="21"/>
        <v>45.815467835781156</v>
      </c>
      <c r="L189" s="32">
        <f t="shared" si="22"/>
        <v>44.578942032395297</v>
      </c>
      <c r="M189" s="32">
        <f t="shared" si="17"/>
        <v>44.578942032395297</v>
      </c>
    </row>
    <row r="190" spans="2:13" x14ac:dyDescent="0.25">
      <c r="B190" s="31">
        <v>50</v>
      </c>
      <c r="C190" s="32">
        <f t="shared" si="18"/>
        <v>1.0000000000000004</v>
      </c>
      <c r="D190" s="35">
        <f t="shared" si="19"/>
        <v>80</v>
      </c>
      <c r="E190" s="32">
        <f t="shared" si="21"/>
        <v>73.554809199344305</v>
      </c>
      <c r="F190" s="32">
        <f t="shared" si="21"/>
        <v>67.390217910885326</v>
      </c>
      <c r="G190" s="32">
        <f t="shared" si="21"/>
        <v>61.545072256099822</v>
      </c>
      <c r="H190" s="32">
        <f t="shared" si="21"/>
        <v>56.479171757090029</v>
      </c>
      <c r="I190" s="32">
        <f t="shared" si="21"/>
        <v>52.050595218633688</v>
      </c>
      <c r="J190" s="32">
        <f t="shared" si="21"/>
        <v>48.734297017877921</v>
      </c>
      <c r="K190" s="32">
        <f t="shared" si="21"/>
        <v>46.349803178075817</v>
      </c>
      <c r="L190" s="32">
        <f t="shared" si="22"/>
        <v>45.197204934088226</v>
      </c>
      <c r="M190" s="32">
        <f t="shared" si="17"/>
        <v>45.197204934088226</v>
      </c>
    </row>
    <row r="191" spans="2:13" x14ac:dyDescent="0.25">
      <c r="B191" s="31">
        <v>51</v>
      </c>
      <c r="C191" s="32">
        <f t="shared" si="18"/>
        <v>1.0200000000000005</v>
      </c>
      <c r="D191" s="35">
        <f t="shared" si="19"/>
        <v>80</v>
      </c>
      <c r="E191" s="32">
        <f t="shared" si="21"/>
        <v>73.695108955442663</v>
      </c>
      <c r="F191" s="32">
        <f t="shared" si="21"/>
        <v>67.54994072772206</v>
      </c>
      <c r="G191" s="32">
        <f t="shared" si="21"/>
        <v>61.934694833987677</v>
      </c>
      <c r="H191" s="32">
        <f t="shared" si="21"/>
        <v>56.797833737366759</v>
      </c>
      <c r="I191" s="32">
        <f t="shared" si="21"/>
        <v>52.606734387483975</v>
      </c>
      <c r="J191" s="32">
        <f t="shared" si="21"/>
        <v>49.200199198354753</v>
      </c>
      <c r="K191" s="32">
        <f t="shared" si="21"/>
        <v>46.96575097598307</v>
      </c>
      <c r="L191" s="32">
        <f t="shared" si="22"/>
        <v>45.773504056082018</v>
      </c>
      <c r="M191" s="32">
        <f t="shared" si="17"/>
        <v>45.773504056082018</v>
      </c>
    </row>
    <row r="192" spans="2:13" x14ac:dyDescent="0.25">
      <c r="B192" s="31">
        <v>52</v>
      </c>
      <c r="C192" s="32">
        <f t="shared" si="18"/>
        <v>1.0400000000000005</v>
      </c>
      <c r="D192" s="35">
        <f t="shared" si="19"/>
        <v>80</v>
      </c>
      <c r="E192" s="32">
        <f t="shared" si="21"/>
        <v>73.77497036386103</v>
      </c>
      <c r="F192" s="32">
        <f t="shared" si="21"/>
        <v>67.814901894715177</v>
      </c>
      <c r="G192" s="32">
        <f t="shared" si="21"/>
        <v>62.173887232544409</v>
      </c>
      <c r="H192" s="32">
        <f t="shared" si="21"/>
        <v>57.270714610735823</v>
      </c>
      <c r="I192" s="32">
        <f t="shared" si="21"/>
        <v>52.999016467860756</v>
      </c>
      <c r="J192" s="32">
        <f t="shared" si="21"/>
        <v>49.786242681733526</v>
      </c>
      <c r="K192" s="32">
        <f t="shared" si="21"/>
        <v>47.486851627218385</v>
      </c>
      <c r="L192" s="32">
        <f t="shared" si="22"/>
        <v>46.369627516032544</v>
      </c>
      <c r="M192" s="32">
        <f t="shared" si="17"/>
        <v>46.369627516032544</v>
      </c>
    </row>
    <row r="193" spans="2:13" x14ac:dyDescent="0.25">
      <c r="B193" s="31">
        <v>53</v>
      </c>
      <c r="C193" s="32">
        <f t="shared" si="18"/>
        <v>1.0600000000000005</v>
      </c>
      <c r="D193" s="35">
        <f t="shared" si="19"/>
        <v>80</v>
      </c>
      <c r="E193" s="32">
        <f t="shared" si="21"/>
        <v>73.907450947357589</v>
      </c>
      <c r="F193" s="32">
        <f t="shared" si="21"/>
        <v>67.974428798202723</v>
      </c>
      <c r="G193" s="32">
        <f t="shared" si="21"/>
        <v>62.5428082527255</v>
      </c>
      <c r="H193" s="32">
        <f t="shared" si="21"/>
        <v>57.586451850202579</v>
      </c>
      <c r="I193" s="32">
        <f t="shared" si="21"/>
        <v>53.528478646234674</v>
      </c>
      <c r="J193" s="32">
        <f t="shared" si="21"/>
        <v>50.24293404753957</v>
      </c>
      <c r="K193" s="32">
        <f t="shared" si="21"/>
        <v>48.077935098883032</v>
      </c>
      <c r="L193" s="32">
        <f t="shared" si="22"/>
        <v>46.928239571625468</v>
      </c>
      <c r="M193" s="32">
        <f t="shared" si="17"/>
        <v>46.928239571625468</v>
      </c>
    </row>
    <row r="194" spans="2:13" x14ac:dyDescent="0.25">
      <c r="B194" s="31">
        <v>54</v>
      </c>
      <c r="C194" s="32">
        <f t="shared" si="18"/>
        <v>1.0800000000000005</v>
      </c>
      <c r="D194" s="35">
        <f t="shared" si="19"/>
        <v>80</v>
      </c>
      <c r="E194" s="32">
        <f t="shared" si="21"/>
        <v>73.987214399101362</v>
      </c>
      <c r="F194" s="32">
        <f t="shared" si="21"/>
        <v>68.225129600041541</v>
      </c>
      <c r="G194" s="32">
        <f t="shared" si="21"/>
        <v>62.780440324202651</v>
      </c>
      <c r="H194" s="32">
        <f t="shared" si="21"/>
        <v>58.035643449480091</v>
      </c>
      <c r="I194" s="32">
        <f t="shared" si="21"/>
        <v>53.914692948871078</v>
      </c>
      <c r="J194" s="32">
        <f t="shared" si="21"/>
        <v>50.803206872558853</v>
      </c>
      <c r="K194" s="32">
        <f t="shared" si="21"/>
        <v>48.585586809582523</v>
      </c>
      <c r="L194" s="32">
        <f t="shared" si="22"/>
        <v>47.50308733525425</v>
      </c>
      <c r="M194" s="32">
        <f t="shared" si="17"/>
        <v>47.50308733525425</v>
      </c>
    </row>
    <row r="195" spans="2:13" x14ac:dyDescent="0.25">
      <c r="B195" s="31">
        <v>55</v>
      </c>
      <c r="C195" s="32">
        <f t="shared" si="18"/>
        <v>1.1000000000000005</v>
      </c>
      <c r="D195" s="35">
        <f t="shared" si="19"/>
        <v>80</v>
      </c>
      <c r="E195" s="32">
        <f t="shared" si="21"/>
        <v>74.112564800020778</v>
      </c>
      <c r="F195" s="32">
        <f t="shared" si="21"/>
        <v>68.38382736165201</v>
      </c>
      <c r="G195" s="32">
        <f t="shared" si="21"/>
        <v>63.130386524760816</v>
      </c>
      <c r="H195" s="32">
        <f t="shared" ref="F195:K237" si="23">(G194+I194)/2</f>
        <v>58.347566636536868</v>
      </c>
      <c r="I195" s="32">
        <f t="shared" si="23"/>
        <v>54.419425161019475</v>
      </c>
      <c r="J195" s="32">
        <f t="shared" si="23"/>
        <v>51.250139879226801</v>
      </c>
      <c r="K195" s="32">
        <f t="shared" si="23"/>
        <v>49.153147103906548</v>
      </c>
      <c r="L195" s="32">
        <f t="shared" si="22"/>
        <v>48.044337072418386</v>
      </c>
      <c r="M195" s="32">
        <f t="shared" si="17"/>
        <v>48.044337072418386</v>
      </c>
    </row>
    <row r="196" spans="2:13" x14ac:dyDescent="0.25">
      <c r="B196" s="31">
        <v>56</v>
      </c>
      <c r="C196" s="32">
        <f t="shared" si="18"/>
        <v>1.1200000000000006</v>
      </c>
      <c r="D196" s="35">
        <f t="shared" si="19"/>
        <v>80</v>
      </c>
      <c r="E196" s="32">
        <f t="shared" ref="E196:K253" si="24">(D195+F195)/2</f>
        <v>74.191913680826005</v>
      </c>
      <c r="F196" s="32">
        <f t="shared" si="23"/>
        <v>68.621475662390793</v>
      </c>
      <c r="G196" s="32">
        <f t="shared" si="23"/>
        <v>63.365696999094439</v>
      </c>
      <c r="H196" s="32">
        <f t="shared" si="23"/>
        <v>58.774905842890149</v>
      </c>
      <c r="I196" s="32">
        <f t="shared" si="23"/>
        <v>54.798853257881831</v>
      </c>
      <c r="J196" s="32">
        <f t="shared" si="23"/>
        <v>51.786286132463012</v>
      </c>
      <c r="K196" s="32">
        <f t="shared" si="23"/>
        <v>49.64723847582259</v>
      </c>
      <c r="L196" s="32">
        <f t="shared" si="22"/>
        <v>48.598742088162467</v>
      </c>
      <c r="M196" s="32">
        <f t="shared" si="17"/>
        <v>48.598742088162467</v>
      </c>
    </row>
    <row r="197" spans="2:13" x14ac:dyDescent="0.25">
      <c r="B197" s="31">
        <v>57</v>
      </c>
      <c r="C197" s="32">
        <f t="shared" si="18"/>
        <v>1.1400000000000006</v>
      </c>
      <c r="D197" s="35">
        <f t="shared" si="19"/>
        <v>80</v>
      </c>
      <c r="E197" s="32">
        <f t="shared" si="24"/>
        <v>74.310737831195397</v>
      </c>
      <c r="F197" s="32">
        <f t="shared" si="23"/>
        <v>68.778805339960229</v>
      </c>
      <c r="G197" s="32">
        <f t="shared" si="23"/>
        <v>63.698190752640471</v>
      </c>
      <c r="H197" s="32">
        <f t="shared" si="23"/>
        <v>59.082275128488135</v>
      </c>
      <c r="I197" s="32">
        <f t="shared" si="23"/>
        <v>55.280595987676577</v>
      </c>
      <c r="J197" s="32">
        <f t="shared" si="23"/>
        <v>52.22304586685221</v>
      </c>
      <c r="K197" s="32">
        <f t="shared" si="23"/>
        <v>50.192514110312743</v>
      </c>
      <c r="L197" s="32">
        <f t="shared" si="22"/>
        <v>49.122990281992529</v>
      </c>
      <c r="M197" s="32">
        <f t="shared" si="17"/>
        <v>49.122990281992529</v>
      </c>
    </row>
    <row r="198" spans="2:13" x14ac:dyDescent="0.25">
      <c r="B198" s="31">
        <v>58</v>
      </c>
      <c r="C198" s="32">
        <f t="shared" si="18"/>
        <v>1.1600000000000006</v>
      </c>
      <c r="D198" s="35">
        <f t="shared" si="19"/>
        <v>80</v>
      </c>
      <c r="E198" s="32">
        <f t="shared" si="24"/>
        <v>74.389402669980115</v>
      </c>
      <c r="F198" s="32">
        <f t="shared" si="23"/>
        <v>69.004464291917941</v>
      </c>
      <c r="G198" s="32">
        <f t="shared" si="23"/>
        <v>63.930540234224182</v>
      </c>
      <c r="H198" s="32">
        <f t="shared" si="23"/>
        <v>59.489393370158524</v>
      </c>
      <c r="I198" s="32">
        <f t="shared" si="23"/>
        <v>55.652660497670169</v>
      </c>
      <c r="J198" s="32">
        <f t="shared" si="23"/>
        <v>52.73655504899466</v>
      </c>
      <c r="K198" s="32">
        <f t="shared" si="23"/>
        <v>50.673018074422373</v>
      </c>
      <c r="L198" s="32">
        <f t="shared" si="22"/>
        <v>49.657752196152636</v>
      </c>
      <c r="M198" s="32">
        <f t="shared" si="17"/>
        <v>49.657752196152636</v>
      </c>
    </row>
    <row r="199" spans="2:13" x14ac:dyDescent="0.25">
      <c r="B199" s="31">
        <v>59</v>
      </c>
      <c r="C199" s="32">
        <f t="shared" si="18"/>
        <v>1.1800000000000006</v>
      </c>
      <c r="D199" s="35">
        <f t="shared" si="19"/>
        <v>80</v>
      </c>
      <c r="E199" s="32">
        <f t="shared" si="24"/>
        <v>74.50223214595897</v>
      </c>
      <c r="F199" s="32">
        <f t="shared" si="23"/>
        <v>69.159971452102155</v>
      </c>
      <c r="G199" s="32">
        <f t="shared" si="23"/>
        <v>64.246928831038232</v>
      </c>
      <c r="H199" s="32">
        <f t="shared" si="23"/>
        <v>59.791600365947176</v>
      </c>
      <c r="I199" s="32">
        <f t="shared" si="23"/>
        <v>56.112974209576592</v>
      </c>
      <c r="J199" s="32">
        <f t="shared" si="23"/>
        <v>53.162839286046271</v>
      </c>
      <c r="K199" s="32">
        <f t="shared" si="23"/>
        <v>51.197153622573651</v>
      </c>
      <c r="L199" s="32">
        <f t="shared" si="22"/>
        <v>50.165385135287508</v>
      </c>
      <c r="M199" s="32">
        <f t="shared" si="17"/>
        <v>50.165385135287508</v>
      </c>
    </row>
    <row r="200" spans="2:13" x14ac:dyDescent="0.25">
      <c r="B200" s="31">
        <v>60</v>
      </c>
      <c r="C200" s="32">
        <f t="shared" si="18"/>
        <v>1.2000000000000006</v>
      </c>
      <c r="D200" s="35">
        <f t="shared" si="19"/>
        <v>80</v>
      </c>
      <c r="E200" s="32">
        <f t="shared" si="24"/>
        <v>74.579985726051078</v>
      </c>
      <c r="F200" s="32">
        <f t="shared" si="23"/>
        <v>69.374580488498594</v>
      </c>
      <c r="G200" s="32">
        <f t="shared" si="23"/>
        <v>64.475785909024665</v>
      </c>
      <c r="H200" s="32">
        <f t="shared" si="23"/>
        <v>60.179951520307412</v>
      </c>
      <c r="I200" s="32">
        <f t="shared" si="23"/>
        <v>56.477219825996727</v>
      </c>
      <c r="J200" s="32">
        <f t="shared" si="23"/>
        <v>53.655063916075122</v>
      </c>
      <c r="K200" s="32">
        <f t="shared" si="23"/>
        <v>51.664112210666886</v>
      </c>
      <c r="L200" s="32">
        <f t="shared" si="22"/>
        <v>50.68126937893058</v>
      </c>
      <c r="M200" s="32">
        <f t="shared" si="17"/>
        <v>50.68126937893058</v>
      </c>
    </row>
    <row r="201" spans="2:13" x14ac:dyDescent="0.25">
      <c r="B201" s="31">
        <v>61</v>
      </c>
      <c r="C201" s="32">
        <f t="shared" si="18"/>
        <v>1.2200000000000006</v>
      </c>
      <c r="D201" s="35">
        <f t="shared" si="19"/>
        <v>80</v>
      </c>
      <c r="E201" s="32">
        <f t="shared" si="24"/>
        <v>74.687290244249297</v>
      </c>
      <c r="F201" s="32">
        <f t="shared" si="23"/>
        <v>69.527885817537879</v>
      </c>
      <c r="G201" s="32">
        <f t="shared" si="23"/>
        <v>64.777266004403003</v>
      </c>
      <c r="H201" s="32">
        <f t="shared" si="23"/>
        <v>60.476502867510696</v>
      </c>
      <c r="I201" s="32">
        <f t="shared" si="23"/>
        <v>56.917507718191267</v>
      </c>
      <c r="J201" s="32">
        <f t="shared" si="23"/>
        <v>54.070666018331806</v>
      </c>
      <c r="K201" s="32">
        <f t="shared" si="23"/>
        <v>52.168166647502851</v>
      </c>
      <c r="L201" s="32">
        <f t="shared" si="22"/>
        <v>51.172690794798733</v>
      </c>
      <c r="M201" s="32">
        <f t="shared" si="17"/>
        <v>51.172690794798733</v>
      </c>
    </row>
    <row r="202" spans="2:13" x14ac:dyDescent="0.25">
      <c r="B202" s="31">
        <v>62</v>
      </c>
      <c r="C202" s="32">
        <f t="shared" si="18"/>
        <v>1.2400000000000007</v>
      </c>
      <c r="D202" s="35">
        <f t="shared" si="19"/>
        <v>80</v>
      </c>
      <c r="E202" s="32">
        <f t="shared" si="24"/>
        <v>74.763942908768939</v>
      </c>
      <c r="F202" s="32">
        <f t="shared" si="23"/>
        <v>69.732278124326143</v>
      </c>
      <c r="G202" s="32">
        <f t="shared" si="23"/>
        <v>65.002194342524291</v>
      </c>
      <c r="H202" s="32">
        <f t="shared" si="23"/>
        <v>60.847386861297139</v>
      </c>
      <c r="I202" s="32">
        <f t="shared" si="23"/>
        <v>57.273584442921248</v>
      </c>
      <c r="J202" s="32">
        <f t="shared" si="23"/>
        <v>54.542837182847059</v>
      </c>
      <c r="K202" s="32">
        <f t="shared" si="23"/>
        <v>52.621678406565266</v>
      </c>
      <c r="L202" s="32">
        <f t="shared" si="22"/>
        <v>51.670428721150792</v>
      </c>
      <c r="M202" s="32">
        <f t="shared" si="17"/>
        <v>51.670428721150792</v>
      </c>
    </row>
    <row r="203" spans="2:13" x14ac:dyDescent="0.25">
      <c r="B203" s="31">
        <v>63</v>
      </c>
      <c r="C203" s="32">
        <f t="shared" si="18"/>
        <v>1.2600000000000007</v>
      </c>
      <c r="D203" s="35">
        <f t="shared" si="19"/>
        <v>80</v>
      </c>
      <c r="E203" s="32">
        <f t="shared" si="24"/>
        <v>74.866139062163072</v>
      </c>
      <c r="F203" s="32">
        <f t="shared" si="23"/>
        <v>69.883068625646615</v>
      </c>
      <c r="G203" s="32">
        <f t="shared" si="23"/>
        <v>65.289832492811641</v>
      </c>
      <c r="H203" s="32">
        <f t="shared" si="23"/>
        <v>61.137889392722769</v>
      </c>
      <c r="I203" s="32">
        <f t="shared" si="23"/>
        <v>57.695112022072095</v>
      </c>
      <c r="J203" s="32">
        <f t="shared" si="23"/>
        <v>54.947631424743257</v>
      </c>
      <c r="K203" s="32">
        <f t="shared" si="23"/>
        <v>53.106632951998925</v>
      </c>
      <c r="L203" s="32">
        <f t="shared" si="22"/>
        <v>52.146053563858032</v>
      </c>
      <c r="M203" s="32">
        <f t="shared" si="17"/>
        <v>52.146053563858032</v>
      </c>
    </row>
    <row r="204" spans="2:13" x14ac:dyDescent="0.25">
      <c r="B204" s="31">
        <v>64</v>
      </c>
      <c r="C204" s="32">
        <f t="shared" si="18"/>
        <v>1.2800000000000007</v>
      </c>
      <c r="D204" s="35">
        <f t="shared" si="19"/>
        <v>80</v>
      </c>
      <c r="E204" s="32">
        <f t="shared" si="24"/>
        <v>74.941534312823308</v>
      </c>
      <c r="F204" s="32">
        <f t="shared" si="23"/>
        <v>70.077985777487356</v>
      </c>
      <c r="G204" s="32">
        <f t="shared" si="23"/>
        <v>65.510479009184692</v>
      </c>
      <c r="H204" s="32">
        <f t="shared" si="23"/>
        <v>61.492472257441868</v>
      </c>
      <c r="I204" s="32">
        <f t="shared" si="23"/>
        <v>58.042760408733017</v>
      </c>
      <c r="J204" s="32">
        <f t="shared" si="23"/>
        <v>55.400872487035514</v>
      </c>
      <c r="K204" s="32">
        <f t="shared" si="23"/>
        <v>53.546842494300648</v>
      </c>
      <c r="L204" s="32">
        <f t="shared" si="22"/>
        <v>52.626343257928482</v>
      </c>
      <c r="M204" s="32">
        <f t="shared" si="17"/>
        <v>52.626343257928482</v>
      </c>
    </row>
    <row r="205" spans="2:13" x14ac:dyDescent="0.25">
      <c r="B205" s="31">
        <v>65</v>
      </c>
      <c r="C205" s="32">
        <f t="shared" si="18"/>
        <v>1.3000000000000007</v>
      </c>
      <c r="D205" s="35">
        <f t="shared" si="19"/>
        <v>80</v>
      </c>
      <c r="E205" s="32">
        <f t="shared" si="24"/>
        <v>75.038992888743678</v>
      </c>
      <c r="F205" s="32">
        <f t="shared" si="23"/>
        <v>70.226006661003993</v>
      </c>
      <c r="G205" s="32">
        <f t="shared" si="23"/>
        <v>65.785229017464616</v>
      </c>
      <c r="H205" s="32">
        <f t="shared" si="23"/>
        <v>61.776619708958854</v>
      </c>
      <c r="I205" s="32">
        <f t="shared" si="23"/>
        <v>58.446672372238694</v>
      </c>
      <c r="J205" s="32">
        <f t="shared" si="23"/>
        <v>55.794801451516832</v>
      </c>
      <c r="K205" s="32">
        <f t="shared" si="23"/>
        <v>54.013607872481998</v>
      </c>
      <c r="L205" s="32">
        <f t="shared" si="22"/>
        <v>53.086592876114565</v>
      </c>
      <c r="M205" s="32">
        <f t="shared" ref="M205:M268" si="25">L205</f>
        <v>53.086592876114565</v>
      </c>
    </row>
    <row r="206" spans="2:13" x14ac:dyDescent="0.25">
      <c r="B206" s="31">
        <v>66</v>
      </c>
      <c r="C206" s="32">
        <f t="shared" ref="C206:C255" si="26">C205+$E$138</f>
        <v>1.3200000000000007</v>
      </c>
      <c r="D206" s="35">
        <f t="shared" ref="D206:D255" si="27">D205</f>
        <v>80</v>
      </c>
      <c r="E206" s="32">
        <f t="shared" si="24"/>
        <v>75.113003330501996</v>
      </c>
      <c r="F206" s="32">
        <f t="shared" si="23"/>
        <v>70.412110953104147</v>
      </c>
      <c r="G206" s="32">
        <f t="shared" si="23"/>
        <v>66.001313184981427</v>
      </c>
      <c r="H206" s="32">
        <f t="shared" si="23"/>
        <v>62.115950694851655</v>
      </c>
      <c r="I206" s="32">
        <f t="shared" si="23"/>
        <v>58.785710580237847</v>
      </c>
      <c r="J206" s="32">
        <f t="shared" si="23"/>
        <v>56.230140122360346</v>
      </c>
      <c r="K206" s="32">
        <f t="shared" si="23"/>
        <v>54.440697163815699</v>
      </c>
      <c r="L206" s="32">
        <f t="shared" si="22"/>
        <v>53.550100374298282</v>
      </c>
      <c r="M206" s="32">
        <f t="shared" si="25"/>
        <v>53.550100374298282</v>
      </c>
    </row>
    <row r="207" spans="2:13" x14ac:dyDescent="0.25">
      <c r="B207" s="31">
        <v>67</v>
      </c>
      <c r="C207" s="32">
        <f t="shared" si="26"/>
        <v>1.3400000000000007</v>
      </c>
      <c r="D207" s="35">
        <f t="shared" si="27"/>
        <v>80</v>
      </c>
      <c r="E207" s="32">
        <f t="shared" si="24"/>
        <v>75.206055476552081</v>
      </c>
      <c r="F207" s="32">
        <f t="shared" si="23"/>
        <v>70.557158257741719</v>
      </c>
      <c r="G207" s="32">
        <f t="shared" si="23"/>
        <v>66.264030823977905</v>
      </c>
      <c r="H207" s="32">
        <f t="shared" si="23"/>
        <v>62.393511882609637</v>
      </c>
      <c r="I207" s="32">
        <f t="shared" si="23"/>
        <v>59.173045408606001</v>
      </c>
      <c r="J207" s="32">
        <f t="shared" si="23"/>
        <v>56.613203872026773</v>
      </c>
      <c r="K207" s="32">
        <f t="shared" si="23"/>
        <v>54.89012024832931</v>
      </c>
      <c r="L207" s="32">
        <f t="shared" si="22"/>
        <v>53.99539876905699</v>
      </c>
      <c r="M207" s="32">
        <f t="shared" si="25"/>
        <v>53.99539876905699</v>
      </c>
    </row>
    <row r="208" spans="2:13" x14ac:dyDescent="0.25">
      <c r="B208" s="31">
        <v>68</v>
      </c>
      <c r="C208" s="32">
        <f t="shared" si="26"/>
        <v>1.3600000000000008</v>
      </c>
      <c r="D208" s="35">
        <f t="shared" si="27"/>
        <v>80</v>
      </c>
      <c r="E208" s="32">
        <f t="shared" si="24"/>
        <v>75.278579128870859</v>
      </c>
      <c r="F208" s="32">
        <f t="shared" si="23"/>
        <v>70.735043150265</v>
      </c>
      <c r="G208" s="32">
        <f t="shared" si="23"/>
        <v>66.475335070175674</v>
      </c>
      <c r="H208" s="32">
        <f t="shared" si="23"/>
        <v>62.718538116291953</v>
      </c>
      <c r="I208" s="32">
        <f t="shared" si="23"/>
        <v>59.503357877318209</v>
      </c>
      <c r="J208" s="32">
        <f t="shared" si="23"/>
        <v>57.031582828467656</v>
      </c>
      <c r="K208" s="32">
        <f t="shared" si="23"/>
        <v>55.304301320541882</v>
      </c>
      <c r="L208" s="32">
        <f t="shared" si="22"/>
        <v>54.44275950869315</v>
      </c>
      <c r="M208" s="32">
        <f t="shared" si="25"/>
        <v>54.44275950869315</v>
      </c>
    </row>
    <row r="209" spans="2:13" x14ac:dyDescent="0.25">
      <c r="B209" s="31">
        <v>69</v>
      </c>
      <c r="C209" s="32">
        <f t="shared" si="26"/>
        <v>1.3800000000000008</v>
      </c>
      <c r="D209" s="35">
        <f t="shared" si="27"/>
        <v>80</v>
      </c>
      <c r="E209" s="32">
        <f t="shared" si="24"/>
        <v>75.3675215751325</v>
      </c>
      <c r="F209" s="32">
        <f t="shared" si="23"/>
        <v>70.876957099523267</v>
      </c>
      <c r="G209" s="32">
        <f t="shared" si="23"/>
        <v>66.726790633278483</v>
      </c>
      <c r="H209" s="32">
        <f t="shared" si="23"/>
        <v>62.989346473746942</v>
      </c>
      <c r="I209" s="32">
        <f t="shared" si="23"/>
        <v>59.875060472379801</v>
      </c>
      <c r="J209" s="32">
        <f t="shared" si="23"/>
        <v>57.403829598930045</v>
      </c>
      <c r="K209" s="32">
        <f t="shared" si="23"/>
        <v>55.737171168580403</v>
      </c>
      <c r="L209" s="32">
        <f t="shared" si="22"/>
        <v>54.87353041461752</v>
      </c>
      <c r="M209" s="32">
        <f t="shared" si="25"/>
        <v>54.87353041461752</v>
      </c>
    </row>
    <row r="210" spans="2:13" x14ac:dyDescent="0.25">
      <c r="B210" s="31">
        <v>70</v>
      </c>
      <c r="C210" s="32">
        <f t="shared" si="26"/>
        <v>1.4000000000000008</v>
      </c>
      <c r="D210" s="35">
        <f t="shared" si="27"/>
        <v>80</v>
      </c>
      <c r="E210" s="32">
        <f t="shared" si="24"/>
        <v>75.438478549761641</v>
      </c>
      <c r="F210" s="32">
        <f t="shared" si="23"/>
        <v>71.047156104205499</v>
      </c>
      <c r="G210" s="32">
        <f t="shared" si="23"/>
        <v>66.933151786635108</v>
      </c>
      <c r="H210" s="32">
        <f t="shared" si="23"/>
        <v>63.300925552829142</v>
      </c>
      <c r="I210" s="32">
        <f t="shared" si="23"/>
        <v>60.196588036338497</v>
      </c>
      <c r="J210" s="32">
        <f t="shared" si="23"/>
        <v>57.806115820480102</v>
      </c>
      <c r="K210" s="32">
        <f t="shared" si="23"/>
        <v>56.138680006773782</v>
      </c>
      <c r="L210" s="32">
        <f t="shared" si="22"/>
        <v>55.305350791598961</v>
      </c>
      <c r="M210" s="32">
        <f t="shared" si="25"/>
        <v>55.305350791598961</v>
      </c>
    </row>
    <row r="211" spans="2:13" x14ac:dyDescent="0.25">
      <c r="B211" s="31">
        <v>71</v>
      </c>
      <c r="C211" s="32">
        <f t="shared" si="26"/>
        <v>1.4200000000000008</v>
      </c>
      <c r="D211" s="35">
        <f t="shared" si="27"/>
        <v>80</v>
      </c>
      <c r="E211" s="32">
        <f t="shared" si="24"/>
        <v>75.523578052102749</v>
      </c>
      <c r="F211" s="32">
        <f t="shared" si="23"/>
        <v>71.185815168198374</v>
      </c>
      <c r="G211" s="32">
        <f t="shared" si="23"/>
        <v>67.17404082851732</v>
      </c>
      <c r="H211" s="32">
        <f t="shared" si="23"/>
        <v>63.564869911486802</v>
      </c>
      <c r="I211" s="32">
        <f t="shared" si="23"/>
        <v>60.553520686654622</v>
      </c>
      <c r="J211" s="32">
        <f t="shared" si="23"/>
        <v>58.16763402155614</v>
      </c>
      <c r="K211" s="32">
        <f t="shared" si="23"/>
        <v>56.555733306039528</v>
      </c>
      <c r="L211" s="32">
        <f t="shared" si="22"/>
        <v>55.722015399186375</v>
      </c>
      <c r="M211" s="32">
        <f t="shared" si="25"/>
        <v>55.722015399186375</v>
      </c>
    </row>
    <row r="212" spans="2:13" x14ac:dyDescent="0.25">
      <c r="B212" s="31">
        <v>72</v>
      </c>
      <c r="C212" s="32">
        <f t="shared" si="26"/>
        <v>1.4400000000000008</v>
      </c>
      <c r="D212" s="35">
        <f t="shared" si="27"/>
        <v>80</v>
      </c>
      <c r="E212" s="32">
        <f t="shared" si="24"/>
        <v>75.59290758409918</v>
      </c>
      <c r="F212" s="32">
        <f t="shared" si="23"/>
        <v>71.348809440310035</v>
      </c>
      <c r="G212" s="32">
        <f t="shared" si="23"/>
        <v>67.375342539842592</v>
      </c>
      <c r="H212" s="32">
        <f t="shared" si="23"/>
        <v>63.863780757585971</v>
      </c>
      <c r="I212" s="32">
        <f t="shared" si="23"/>
        <v>60.866251966521475</v>
      </c>
      <c r="J212" s="32">
        <f t="shared" si="23"/>
        <v>58.554626996347075</v>
      </c>
      <c r="K212" s="32">
        <f t="shared" si="23"/>
        <v>56.944824710371257</v>
      </c>
      <c r="L212" s="32">
        <f t="shared" si="22"/>
        <v>56.138874352612952</v>
      </c>
      <c r="M212" s="32">
        <f t="shared" si="25"/>
        <v>56.138874352612952</v>
      </c>
    </row>
    <row r="213" spans="2:13" x14ac:dyDescent="0.25">
      <c r="B213" s="31">
        <v>73</v>
      </c>
      <c r="C213" s="32">
        <f t="shared" si="26"/>
        <v>1.4600000000000009</v>
      </c>
      <c r="D213" s="35">
        <f t="shared" si="27"/>
        <v>80</v>
      </c>
      <c r="E213" s="32">
        <f t="shared" si="24"/>
        <v>75.674404720155025</v>
      </c>
      <c r="F213" s="32">
        <f t="shared" si="23"/>
        <v>71.484125061970886</v>
      </c>
      <c r="G213" s="32">
        <f t="shared" si="23"/>
        <v>67.60629509894801</v>
      </c>
      <c r="H213" s="32">
        <f t="shared" si="23"/>
        <v>64.120797253182033</v>
      </c>
      <c r="I213" s="32">
        <f t="shared" si="23"/>
        <v>61.209203876966527</v>
      </c>
      <c r="J213" s="32">
        <f t="shared" si="23"/>
        <v>58.905538338446362</v>
      </c>
      <c r="K213" s="32">
        <f t="shared" si="23"/>
        <v>57.346750674480013</v>
      </c>
      <c r="L213" s="32">
        <f t="shared" si="22"/>
        <v>56.541849531492105</v>
      </c>
      <c r="M213" s="32">
        <f t="shared" si="25"/>
        <v>56.541849531492105</v>
      </c>
    </row>
    <row r="214" spans="2:13" x14ac:dyDescent="0.25">
      <c r="B214" s="31">
        <v>74</v>
      </c>
      <c r="C214" s="32">
        <f t="shared" si="26"/>
        <v>1.4800000000000009</v>
      </c>
      <c r="D214" s="35">
        <f t="shared" si="27"/>
        <v>80</v>
      </c>
      <c r="E214" s="32">
        <f t="shared" si="24"/>
        <v>75.742062530985436</v>
      </c>
      <c r="F214" s="32">
        <f t="shared" si="23"/>
        <v>71.640349909551517</v>
      </c>
      <c r="G214" s="32">
        <f t="shared" si="23"/>
        <v>67.80246115757646</v>
      </c>
      <c r="H214" s="32">
        <f t="shared" si="23"/>
        <v>64.407749487957261</v>
      </c>
      <c r="I214" s="32">
        <f t="shared" si="23"/>
        <v>61.513167795814198</v>
      </c>
      <c r="J214" s="32">
        <f t="shared" si="23"/>
        <v>59.277977275723273</v>
      </c>
      <c r="K214" s="32">
        <f t="shared" si="23"/>
        <v>57.723693934969234</v>
      </c>
      <c r="L214" s="32">
        <f t="shared" si="22"/>
        <v>56.944300102986062</v>
      </c>
      <c r="M214" s="32">
        <f t="shared" si="25"/>
        <v>56.944300102986062</v>
      </c>
    </row>
    <row r="215" spans="2:13" x14ac:dyDescent="0.25">
      <c r="B215" s="31">
        <v>75</v>
      </c>
      <c r="C215" s="32">
        <f t="shared" si="26"/>
        <v>1.5000000000000009</v>
      </c>
      <c r="D215" s="35">
        <f t="shared" si="27"/>
        <v>80</v>
      </c>
      <c r="E215" s="32">
        <f t="shared" si="24"/>
        <v>75.820174954775752</v>
      </c>
      <c r="F215" s="32">
        <f t="shared" si="23"/>
        <v>71.772261844280948</v>
      </c>
      <c r="G215" s="32">
        <f t="shared" si="23"/>
        <v>68.024049698754396</v>
      </c>
      <c r="H215" s="32">
        <f t="shared" si="23"/>
        <v>64.657814476695336</v>
      </c>
      <c r="I215" s="32">
        <f t="shared" si="23"/>
        <v>61.842863381840267</v>
      </c>
      <c r="J215" s="32">
        <f t="shared" si="23"/>
        <v>59.618430865391716</v>
      </c>
      <c r="K215" s="32">
        <f t="shared" si="23"/>
        <v>58.111138689354668</v>
      </c>
      <c r="L215" s="32">
        <f t="shared" si="22"/>
        <v>57.333997018977648</v>
      </c>
      <c r="M215" s="32">
        <f t="shared" si="25"/>
        <v>57.333997018977648</v>
      </c>
    </row>
    <row r="216" spans="2:13" x14ac:dyDescent="0.25">
      <c r="B216" s="31">
        <v>76</v>
      </c>
      <c r="C216" s="32">
        <f t="shared" si="26"/>
        <v>1.5200000000000009</v>
      </c>
      <c r="D216" s="35">
        <f t="shared" si="27"/>
        <v>80</v>
      </c>
      <c r="E216" s="32">
        <f t="shared" si="24"/>
        <v>75.886130922140467</v>
      </c>
      <c r="F216" s="32">
        <f t="shared" si="23"/>
        <v>71.922112326765074</v>
      </c>
      <c r="G216" s="32">
        <f t="shared" si="23"/>
        <v>68.215038160488149</v>
      </c>
      <c r="H216" s="32">
        <f t="shared" si="23"/>
        <v>64.933456540297328</v>
      </c>
      <c r="I216" s="32">
        <f t="shared" si="23"/>
        <v>62.138122671043526</v>
      </c>
      <c r="J216" s="32">
        <f t="shared" si="23"/>
        <v>59.977001035597468</v>
      </c>
      <c r="K216" s="32">
        <f t="shared" si="23"/>
        <v>58.476213942184685</v>
      </c>
      <c r="L216" s="32">
        <f t="shared" si="22"/>
        <v>57.722567854166158</v>
      </c>
      <c r="M216" s="32">
        <f t="shared" si="25"/>
        <v>57.722567854166158</v>
      </c>
    </row>
    <row r="217" spans="2:13" x14ac:dyDescent="0.25">
      <c r="B217" s="31">
        <v>77</v>
      </c>
      <c r="C217" s="32">
        <f t="shared" si="26"/>
        <v>1.5400000000000009</v>
      </c>
      <c r="D217" s="35">
        <f t="shared" si="27"/>
        <v>80</v>
      </c>
      <c r="E217" s="32">
        <f t="shared" si="24"/>
        <v>75.961056163382537</v>
      </c>
      <c r="F217" s="32">
        <f t="shared" si="23"/>
        <v>72.050584541314308</v>
      </c>
      <c r="G217" s="32">
        <f t="shared" si="23"/>
        <v>68.427784433531201</v>
      </c>
      <c r="H217" s="32">
        <f t="shared" si="23"/>
        <v>65.176580415765841</v>
      </c>
      <c r="I217" s="32">
        <f t="shared" si="23"/>
        <v>62.455228787947398</v>
      </c>
      <c r="J217" s="32">
        <f t="shared" si="23"/>
        <v>60.307168306614102</v>
      </c>
      <c r="K217" s="32">
        <f t="shared" si="23"/>
        <v>58.849784444881813</v>
      </c>
      <c r="L217" s="32">
        <f t="shared" si="22"/>
        <v>58.099390898175422</v>
      </c>
      <c r="M217" s="32">
        <f t="shared" si="25"/>
        <v>58.099390898175422</v>
      </c>
    </row>
    <row r="218" spans="2:13" x14ac:dyDescent="0.25">
      <c r="B218" s="31">
        <v>78</v>
      </c>
      <c r="C218" s="32">
        <f t="shared" si="26"/>
        <v>1.5600000000000009</v>
      </c>
      <c r="D218" s="35">
        <f t="shared" si="27"/>
        <v>80</v>
      </c>
      <c r="E218" s="32">
        <f t="shared" si="24"/>
        <v>76.025292270657161</v>
      </c>
      <c r="F218" s="32">
        <f t="shared" si="23"/>
        <v>72.194420298456862</v>
      </c>
      <c r="G218" s="32">
        <f t="shared" si="23"/>
        <v>68.613582478540081</v>
      </c>
      <c r="H218" s="32">
        <f t="shared" si="23"/>
        <v>65.441506610739296</v>
      </c>
      <c r="I218" s="32">
        <f t="shared" si="23"/>
        <v>62.741874361189971</v>
      </c>
      <c r="J218" s="32">
        <f t="shared" si="23"/>
        <v>60.652506616414605</v>
      </c>
      <c r="K218" s="32">
        <f t="shared" si="23"/>
        <v>59.203279602394758</v>
      </c>
      <c r="L218" s="32">
        <f t="shared" si="22"/>
        <v>58.474587671528617</v>
      </c>
      <c r="M218" s="32">
        <f t="shared" si="25"/>
        <v>58.474587671528617</v>
      </c>
    </row>
    <row r="219" spans="2:13" x14ac:dyDescent="0.25">
      <c r="B219" s="31">
        <v>79</v>
      </c>
      <c r="C219" s="32">
        <f t="shared" si="26"/>
        <v>1.580000000000001</v>
      </c>
      <c r="D219" s="35">
        <f t="shared" si="27"/>
        <v>80</v>
      </c>
      <c r="E219" s="32">
        <f t="shared" si="24"/>
        <v>76.097210149228431</v>
      </c>
      <c r="F219" s="32">
        <f t="shared" si="23"/>
        <v>72.319437374598621</v>
      </c>
      <c r="G219" s="32">
        <f t="shared" si="23"/>
        <v>68.817963454598072</v>
      </c>
      <c r="H219" s="32">
        <f t="shared" si="23"/>
        <v>65.677728419865019</v>
      </c>
      <c r="I219" s="32">
        <f t="shared" si="23"/>
        <v>63.047006613576954</v>
      </c>
      <c r="J219" s="32">
        <f t="shared" si="23"/>
        <v>60.972576981792365</v>
      </c>
      <c r="K219" s="32">
        <f t="shared" si="23"/>
        <v>59.563547143971611</v>
      </c>
      <c r="L219" s="32">
        <f t="shared" si="22"/>
        <v>58.838933636961684</v>
      </c>
      <c r="M219" s="32">
        <f t="shared" si="25"/>
        <v>58.838933636961684</v>
      </c>
    </row>
    <row r="220" spans="2:13" x14ac:dyDescent="0.25">
      <c r="B220" s="31">
        <v>80</v>
      </c>
      <c r="C220" s="32">
        <f t="shared" si="26"/>
        <v>1.600000000000001</v>
      </c>
      <c r="D220" s="35">
        <f t="shared" si="27"/>
        <v>80</v>
      </c>
      <c r="E220" s="32">
        <f t="shared" si="24"/>
        <v>76.159718687299318</v>
      </c>
      <c r="F220" s="32">
        <f t="shared" si="23"/>
        <v>72.457586801913251</v>
      </c>
      <c r="G220" s="32">
        <f t="shared" si="23"/>
        <v>68.998582897231813</v>
      </c>
      <c r="H220" s="32">
        <f t="shared" si="23"/>
        <v>65.932485034087506</v>
      </c>
      <c r="I220" s="32">
        <f t="shared" si="23"/>
        <v>63.325152700828696</v>
      </c>
      <c r="J220" s="32">
        <f t="shared" si="23"/>
        <v>61.305276878774279</v>
      </c>
      <c r="K220" s="32">
        <f t="shared" si="23"/>
        <v>59.905755309377028</v>
      </c>
      <c r="L220" s="32">
        <f t="shared" si="22"/>
        <v>59.201240390466651</v>
      </c>
      <c r="M220" s="32">
        <f t="shared" si="25"/>
        <v>59.201240390466651</v>
      </c>
    </row>
    <row r="221" spans="2:13" x14ac:dyDescent="0.25">
      <c r="B221" s="31">
        <v>81</v>
      </c>
      <c r="C221" s="32">
        <f t="shared" si="26"/>
        <v>1.620000000000001</v>
      </c>
      <c r="D221" s="35">
        <f t="shared" si="27"/>
        <v>80</v>
      </c>
      <c r="E221" s="32">
        <f t="shared" si="24"/>
        <v>76.228793400956619</v>
      </c>
      <c r="F221" s="32">
        <f t="shared" si="23"/>
        <v>72.579150792265565</v>
      </c>
      <c r="G221" s="32">
        <f t="shared" si="23"/>
        <v>69.195035918000372</v>
      </c>
      <c r="H221" s="32">
        <f t="shared" si="23"/>
        <v>66.161867799030261</v>
      </c>
      <c r="I221" s="32">
        <f t="shared" si="23"/>
        <v>63.618880956430893</v>
      </c>
      <c r="J221" s="32">
        <f t="shared" si="23"/>
        <v>61.615454005102862</v>
      </c>
      <c r="K221" s="32">
        <f t="shared" si="23"/>
        <v>60.253258634620465</v>
      </c>
      <c r="L221" s="32">
        <f t="shared" si="22"/>
        <v>59.55349784992184</v>
      </c>
      <c r="M221" s="32">
        <f t="shared" si="25"/>
        <v>59.55349784992184</v>
      </c>
    </row>
    <row r="222" spans="2:13" x14ac:dyDescent="0.25">
      <c r="B222" s="31">
        <v>82</v>
      </c>
      <c r="C222" s="32">
        <f t="shared" si="26"/>
        <v>1.640000000000001</v>
      </c>
      <c r="D222" s="35">
        <f t="shared" si="27"/>
        <v>80</v>
      </c>
      <c r="E222" s="32">
        <f t="shared" si="24"/>
        <v>76.28957539613279</v>
      </c>
      <c r="F222" s="32">
        <f t="shared" si="23"/>
        <v>72.711914659478495</v>
      </c>
      <c r="G222" s="32">
        <f t="shared" si="23"/>
        <v>69.370509295647906</v>
      </c>
      <c r="H222" s="32">
        <f t="shared" si="23"/>
        <v>66.406958437215636</v>
      </c>
      <c r="I222" s="32">
        <f t="shared" si="23"/>
        <v>63.888660902066562</v>
      </c>
      <c r="J222" s="32">
        <f t="shared" si="23"/>
        <v>61.936069795525682</v>
      </c>
      <c r="K222" s="32">
        <f t="shared" si="23"/>
        <v>60.584475927512351</v>
      </c>
      <c r="L222" s="32">
        <f t="shared" si="22"/>
        <v>59.903378242271152</v>
      </c>
      <c r="M222" s="32">
        <f t="shared" si="25"/>
        <v>59.903378242271152</v>
      </c>
    </row>
    <row r="223" spans="2:13" x14ac:dyDescent="0.25">
      <c r="B223" s="31">
        <v>83</v>
      </c>
      <c r="C223" s="32">
        <f t="shared" si="26"/>
        <v>1.660000000000001</v>
      </c>
      <c r="D223" s="35">
        <f t="shared" si="27"/>
        <v>80</v>
      </c>
      <c r="E223" s="32">
        <f t="shared" si="24"/>
        <v>76.355957329739255</v>
      </c>
      <c r="F223" s="32">
        <f t="shared" si="23"/>
        <v>72.830042345890348</v>
      </c>
      <c r="G223" s="32">
        <f t="shared" si="23"/>
        <v>69.559436548347065</v>
      </c>
      <c r="H223" s="32">
        <f t="shared" si="23"/>
        <v>66.629585098857234</v>
      </c>
      <c r="I223" s="32">
        <f t="shared" si="23"/>
        <v>64.171514116370659</v>
      </c>
      <c r="J223" s="32">
        <f t="shared" si="23"/>
        <v>62.23656841478946</v>
      </c>
      <c r="K223" s="32">
        <f t="shared" si="23"/>
        <v>60.919724018898421</v>
      </c>
      <c r="L223" s="32">
        <f t="shared" ref="L223:L286" si="28">(K222+M222)/2</f>
        <v>60.243927084891752</v>
      </c>
      <c r="M223" s="32">
        <f t="shared" si="25"/>
        <v>60.243927084891752</v>
      </c>
    </row>
    <row r="224" spans="2:13" x14ac:dyDescent="0.25">
      <c r="B224" s="31">
        <v>84</v>
      </c>
      <c r="C224" s="32">
        <f t="shared" si="26"/>
        <v>1.680000000000001</v>
      </c>
      <c r="D224" s="35">
        <f t="shared" si="27"/>
        <v>80</v>
      </c>
      <c r="E224" s="32">
        <f t="shared" si="24"/>
        <v>76.415021172945174</v>
      </c>
      <c r="F224" s="32">
        <f t="shared" si="23"/>
        <v>72.95769693904316</v>
      </c>
      <c r="G224" s="32">
        <f t="shared" si="23"/>
        <v>69.729813722373791</v>
      </c>
      <c r="H224" s="32">
        <f t="shared" si="23"/>
        <v>66.865475332358869</v>
      </c>
      <c r="I224" s="32">
        <f t="shared" si="23"/>
        <v>64.43307675682334</v>
      </c>
      <c r="J224" s="32">
        <f t="shared" si="23"/>
        <v>62.54561906763454</v>
      </c>
      <c r="K224" s="32">
        <f t="shared" si="23"/>
        <v>61.240247749840606</v>
      </c>
      <c r="L224" s="32">
        <f t="shared" si="28"/>
        <v>60.581825551895086</v>
      </c>
      <c r="M224" s="32">
        <f t="shared" si="25"/>
        <v>60.581825551895086</v>
      </c>
    </row>
    <row r="225" spans="2:13" x14ac:dyDescent="0.25">
      <c r="B225" s="31">
        <v>85</v>
      </c>
      <c r="C225" s="32">
        <f t="shared" si="26"/>
        <v>1.7000000000000011</v>
      </c>
      <c r="D225" s="35">
        <f t="shared" si="27"/>
        <v>80</v>
      </c>
      <c r="E225" s="32">
        <f t="shared" si="24"/>
        <v>76.47884846952158</v>
      </c>
      <c r="F225" s="32">
        <f t="shared" si="23"/>
        <v>73.07241744765949</v>
      </c>
      <c r="G225" s="32">
        <f t="shared" si="23"/>
        <v>69.911586135701015</v>
      </c>
      <c r="H225" s="32">
        <f t="shared" si="23"/>
        <v>67.081445239598565</v>
      </c>
      <c r="I225" s="32">
        <f t="shared" si="23"/>
        <v>64.705547199996701</v>
      </c>
      <c r="J225" s="32">
        <f t="shared" si="23"/>
        <v>62.836662253331973</v>
      </c>
      <c r="K225" s="32">
        <f t="shared" si="23"/>
        <v>61.563722309764813</v>
      </c>
      <c r="L225" s="32">
        <f t="shared" si="28"/>
        <v>60.911036650867842</v>
      </c>
      <c r="M225" s="32">
        <f t="shared" si="25"/>
        <v>60.911036650867842</v>
      </c>
    </row>
    <row r="226" spans="2:13" x14ac:dyDescent="0.25">
      <c r="B226" s="31">
        <v>86</v>
      </c>
      <c r="C226" s="32">
        <f t="shared" si="26"/>
        <v>1.7200000000000011</v>
      </c>
      <c r="D226" s="35">
        <f t="shared" si="27"/>
        <v>80</v>
      </c>
      <c r="E226" s="32">
        <f t="shared" si="24"/>
        <v>76.536208723829745</v>
      </c>
      <c r="F226" s="32">
        <f t="shared" si="23"/>
        <v>73.195217302611297</v>
      </c>
      <c r="G226" s="32">
        <f t="shared" si="23"/>
        <v>70.076931343629028</v>
      </c>
      <c r="H226" s="32">
        <f t="shared" si="23"/>
        <v>67.308566667848851</v>
      </c>
      <c r="I226" s="32">
        <f t="shared" si="23"/>
        <v>64.959053746465273</v>
      </c>
      <c r="J226" s="32">
        <f t="shared" si="23"/>
        <v>63.134634754880757</v>
      </c>
      <c r="K226" s="32">
        <f t="shared" si="23"/>
        <v>61.873849452099904</v>
      </c>
      <c r="L226" s="32">
        <f t="shared" si="28"/>
        <v>61.237379480316328</v>
      </c>
      <c r="M226" s="32">
        <f t="shared" si="25"/>
        <v>61.237379480316328</v>
      </c>
    </row>
    <row r="227" spans="2:13" x14ac:dyDescent="0.25">
      <c r="B227" s="31">
        <v>87</v>
      </c>
      <c r="C227" s="32">
        <f t="shared" si="26"/>
        <v>1.7400000000000011</v>
      </c>
      <c r="D227" s="35">
        <f t="shared" si="27"/>
        <v>80</v>
      </c>
      <c r="E227" s="32">
        <f t="shared" si="24"/>
        <v>76.597608651305649</v>
      </c>
      <c r="F227" s="32">
        <f t="shared" si="23"/>
        <v>73.306570033729386</v>
      </c>
      <c r="G227" s="32">
        <f t="shared" si="23"/>
        <v>70.251891985230074</v>
      </c>
      <c r="H227" s="32">
        <f t="shared" si="23"/>
        <v>67.51799254504715</v>
      </c>
      <c r="I227" s="32">
        <f t="shared" si="23"/>
        <v>65.2216007113648</v>
      </c>
      <c r="J227" s="32">
        <f t="shared" si="23"/>
        <v>63.416451599282588</v>
      </c>
      <c r="K227" s="32">
        <f t="shared" si="23"/>
        <v>62.186007117598542</v>
      </c>
      <c r="L227" s="32">
        <f t="shared" si="28"/>
        <v>61.555614466208112</v>
      </c>
      <c r="M227" s="32">
        <f t="shared" si="25"/>
        <v>61.555614466208112</v>
      </c>
    </row>
    <row r="228" spans="2:13" x14ac:dyDescent="0.25">
      <c r="B228" s="31">
        <v>88</v>
      </c>
      <c r="C228" s="32">
        <f t="shared" si="26"/>
        <v>1.7600000000000011</v>
      </c>
      <c r="D228" s="35">
        <f t="shared" si="27"/>
        <v>80</v>
      </c>
      <c r="E228" s="32">
        <f t="shared" si="24"/>
        <v>76.653285016864686</v>
      </c>
      <c r="F228" s="32">
        <f t="shared" si="23"/>
        <v>73.424750318267854</v>
      </c>
      <c r="G228" s="32">
        <f t="shared" si="23"/>
        <v>70.412281289388261</v>
      </c>
      <c r="H228" s="32">
        <f t="shared" si="23"/>
        <v>67.73674634829743</v>
      </c>
      <c r="I228" s="32">
        <f t="shared" si="23"/>
        <v>65.467222072164873</v>
      </c>
      <c r="J228" s="32">
        <f t="shared" si="23"/>
        <v>63.703803914481668</v>
      </c>
      <c r="K228" s="32">
        <f t="shared" si="23"/>
        <v>62.486033032745354</v>
      </c>
      <c r="L228" s="32">
        <f t="shared" si="28"/>
        <v>61.870810791903324</v>
      </c>
      <c r="M228" s="32">
        <f t="shared" si="25"/>
        <v>61.870810791903324</v>
      </c>
    </row>
    <row r="229" spans="2:13" x14ac:dyDescent="0.25">
      <c r="B229" s="31">
        <v>89</v>
      </c>
      <c r="C229" s="32">
        <f t="shared" si="26"/>
        <v>1.7800000000000011</v>
      </c>
      <c r="D229" s="35">
        <f t="shared" si="27"/>
        <v>80</v>
      </c>
      <c r="E229" s="32">
        <f t="shared" si="24"/>
        <v>76.712375159133927</v>
      </c>
      <c r="F229" s="32">
        <f t="shared" si="23"/>
        <v>73.532783153126474</v>
      </c>
      <c r="G229" s="32">
        <f t="shared" si="23"/>
        <v>70.580748333282642</v>
      </c>
      <c r="H229" s="32">
        <f t="shared" si="23"/>
        <v>67.939751680776567</v>
      </c>
      <c r="I229" s="32">
        <f t="shared" si="23"/>
        <v>65.720275131389542</v>
      </c>
      <c r="J229" s="32">
        <f t="shared" si="23"/>
        <v>63.976627552455113</v>
      </c>
      <c r="K229" s="32">
        <f t="shared" si="23"/>
        <v>62.787307353192496</v>
      </c>
      <c r="L229" s="32">
        <f t="shared" si="28"/>
        <v>62.178421912324339</v>
      </c>
      <c r="M229" s="32">
        <f t="shared" si="25"/>
        <v>62.178421912324339</v>
      </c>
    </row>
    <row r="230" spans="2:13" x14ac:dyDescent="0.25">
      <c r="B230" s="31">
        <v>90</v>
      </c>
      <c r="C230" s="32">
        <f t="shared" si="26"/>
        <v>1.8000000000000012</v>
      </c>
      <c r="D230" s="35">
        <f t="shared" si="27"/>
        <v>80</v>
      </c>
      <c r="E230" s="32">
        <f t="shared" si="24"/>
        <v>76.766391576563237</v>
      </c>
      <c r="F230" s="32">
        <f t="shared" si="23"/>
        <v>73.646561746208278</v>
      </c>
      <c r="G230" s="32">
        <f t="shared" si="23"/>
        <v>70.73626741695152</v>
      </c>
      <c r="H230" s="32">
        <f t="shared" si="23"/>
        <v>68.150511732336099</v>
      </c>
      <c r="I230" s="32">
        <f t="shared" si="23"/>
        <v>65.95818961661584</v>
      </c>
      <c r="J230" s="32">
        <f t="shared" si="23"/>
        <v>64.253791242291015</v>
      </c>
      <c r="K230" s="32">
        <f t="shared" si="23"/>
        <v>63.077524732389726</v>
      </c>
      <c r="L230" s="32">
        <f t="shared" si="28"/>
        <v>62.482864632758421</v>
      </c>
      <c r="M230" s="32">
        <f t="shared" si="25"/>
        <v>62.482864632758421</v>
      </c>
    </row>
    <row r="231" spans="2:13" x14ac:dyDescent="0.25">
      <c r="B231" s="31">
        <v>91</v>
      </c>
      <c r="C231" s="32">
        <f t="shared" si="26"/>
        <v>1.8200000000000012</v>
      </c>
      <c r="D231" s="35">
        <f t="shared" si="27"/>
        <v>80</v>
      </c>
      <c r="E231" s="32">
        <f t="shared" si="24"/>
        <v>76.823280873104139</v>
      </c>
      <c r="F231" s="32">
        <f t="shared" si="23"/>
        <v>73.751329496757378</v>
      </c>
      <c r="G231" s="32">
        <f t="shared" si="23"/>
        <v>70.898536739272188</v>
      </c>
      <c r="H231" s="32">
        <f t="shared" si="23"/>
        <v>68.347228516783673</v>
      </c>
      <c r="I231" s="32">
        <f t="shared" si="23"/>
        <v>66.202151487313557</v>
      </c>
      <c r="J231" s="32">
        <f t="shared" si="23"/>
        <v>64.51785717450278</v>
      </c>
      <c r="K231" s="32">
        <f t="shared" si="23"/>
        <v>63.368327937524718</v>
      </c>
      <c r="L231" s="32">
        <f t="shared" si="28"/>
        <v>62.780194682574077</v>
      </c>
      <c r="M231" s="32">
        <f t="shared" si="25"/>
        <v>62.780194682574077</v>
      </c>
    </row>
    <row r="232" spans="2:13" x14ac:dyDescent="0.25">
      <c r="B232" s="31">
        <v>92</v>
      </c>
      <c r="C232" s="32">
        <f t="shared" si="26"/>
        <v>1.8400000000000012</v>
      </c>
      <c r="D232" s="35">
        <f t="shared" si="27"/>
        <v>80</v>
      </c>
      <c r="E232" s="32">
        <f t="shared" si="24"/>
        <v>76.875664748378682</v>
      </c>
      <c r="F232" s="32">
        <f t="shared" si="23"/>
        <v>73.860908806188164</v>
      </c>
      <c r="G232" s="32">
        <f t="shared" si="23"/>
        <v>71.049279006770519</v>
      </c>
      <c r="H232" s="32">
        <f t="shared" si="23"/>
        <v>68.55034411329288</v>
      </c>
      <c r="I232" s="32">
        <f t="shared" si="23"/>
        <v>66.432542845643226</v>
      </c>
      <c r="J232" s="32">
        <f t="shared" si="23"/>
        <v>64.785239712419141</v>
      </c>
      <c r="K232" s="32">
        <f t="shared" si="23"/>
        <v>63.649025928538428</v>
      </c>
      <c r="L232" s="32">
        <f t="shared" si="28"/>
        <v>63.074261310049394</v>
      </c>
      <c r="M232" s="32">
        <f t="shared" si="25"/>
        <v>63.074261310049394</v>
      </c>
    </row>
    <row r="233" spans="2:13" x14ac:dyDescent="0.25">
      <c r="B233" s="31">
        <v>93</v>
      </c>
      <c r="C233" s="32">
        <f t="shared" si="26"/>
        <v>1.8600000000000012</v>
      </c>
      <c r="D233" s="35">
        <f t="shared" si="27"/>
        <v>80</v>
      </c>
      <c r="E233" s="32">
        <f t="shared" si="24"/>
        <v>76.930454403094075</v>
      </c>
      <c r="F233" s="32">
        <f t="shared" si="23"/>
        <v>73.9624718775746</v>
      </c>
      <c r="G233" s="32">
        <f t="shared" si="23"/>
        <v>71.205626459740529</v>
      </c>
      <c r="H233" s="32">
        <f t="shared" si="23"/>
        <v>68.74091092620688</v>
      </c>
      <c r="I233" s="32">
        <f t="shared" si="23"/>
        <v>66.667791912856018</v>
      </c>
      <c r="J233" s="32">
        <f t="shared" si="23"/>
        <v>65.040784387090824</v>
      </c>
      <c r="K233" s="32">
        <f t="shared" si="23"/>
        <v>63.929750511234268</v>
      </c>
      <c r="L233" s="32">
        <f t="shared" si="28"/>
        <v>63.361643619293915</v>
      </c>
      <c r="M233" s="32">
        <f t="shared" si="25"/>
        <v>63.361643619293915</v>
      </c>
    </row>
    <row r="234" spans="2:13" x14ac:dyDescent="0.25">
      <c r="B234" s="31">
        <v>94</v>
      </c>
      <c r="C234" s="32">
        <f t="shared" si="26"/>
        <v>1.8800000000000012</v>
      </c>
      <c r="D234" s="35">
        <f t="shared" si="27"/>
        <v>80</v>
      </c>
      <c r="E234" s="32">
        <f t="shared" si="24"/>
        <v>76.981235938787307</v>
      </c>
      <c r="F234" s="32">
        <f t="shared" si="23"/>
        <v>74.068040431417302</v>
      </c>
      <c r="G234" s="32">
        <f t="shared" si="23"/>
        <v>71.351691401890747</v>
      </c>
      <c r="H234" s="32">
        <f t="shared" si="23"/>
        <v>68.936709186298273</v>
      </c>
      <c r="I234" s="32">
        <f t="shared" si="23"/>
        <v>66.890847656648845</v>
      </c>
      <c r="J234" s="32">
        <f t="shared" si="23"/>
        <v>65.298771212045139</v>
      </c>
      <c r="K234" s="32">
        <f t="shared" si="23"/>
        <v>64.201214003192376</v>
      </c>
      <c r="L234" s="32">
        <f t="shared" si="28"/>
        <v>63.645697065264088</v>
      </c>
      <c r="M234" s="32">
        <f t="shared" si="25"/>
        <v>63.645697065264088</v>
      </c>
    </row>
    <row r="235" spans="2:13" x14ac:dyDescent="0.25">
      <c r="B235" s="31">
        <v>95</v>
      </c>
      <c r="C235" s="32">
        <f t="shared" si="26"/>
        <v>1.9000000000000012</v>
      </c>
      <c r="D235" s="35">
        <f t="shared" si="27"/>
        <v>80</v>
      </c>
      <c r="E235" s="32">
        <f t="shared" si="24"/>
        <v>77.034020215708651</v>
      </c>
      <c r="F235" s="32">
        <f t="shared" si="23"/>
        <v>74.166463670339027</v>
      </c>
      <c r="G235" s="32">
        <f t="shared" si="23"/>
        <v>71.50237480885778</v>
      </c>
      <c r="H235" s="32">
        <f t="shared" si="23"/>
        <v>69.121269529269796</v>
      </c>
      <c r="I235" s="32">
        <f t="shared" si="23"/>
        <v>67.117740199171706</v>
      </c>
      <c r="J235" s="32">
        <f t="shared" si="23"/>
        <v>65.54603082992061</v>
      </c>
      <c r="K235" s="32">
        <f t="shared" si="23"/>
        <v>64.472234138654613</v>
      </c>
      <c r="L235" s="32">
        <f t="shared" si="28"/>
        <v>63.923455534228232</v>
      </c>
      <c r="M235" s="32">
        <f t="shared" si="25"/>
        <v>63.923455534228232</v>
      </c>
    </row>
    <row r="236" spans="2:13" x14ac:dyDescent="0.25">
      <c r="B236" s="31">
        <v>96</v>
      </c>
      <c r="C236" s="32">
        <f t="shared" si="26"/>
        <v>1.9200000000000013</v>
      </c>
      <c r="D236" s="35">
        <f t="shared" si="27"/>
        <v>80</v>
      </c>
      <c r="E236" s="32">
        <f t="shared" si="24"/>
        <v>77.083231835169514</v>
      </c>
      <c r="F236" s="32">
        <f t="shared" si="23"/>
        <v>74.268197512283223</v>
      </c>
      <c r="G236" s="32">
        <f t="shared" si="23"/>
        <v>71.643866599804412</v>
      </c>
      <c r="H236" s="32">
        <f t="shared" si="23"/>
        <v>69.310057504014736</v>
      </c>
      <c r="I236" s="32">
        <f t="shared" si="23"/>
        <v>67.333650179595196</v>
      </c>
      <c r="J236" s="32">
        <f t="shared" si="23"/>
        <v>65.794987168913167</v>
      </c>
      <c r="K236" s="32">
        <f t="shared" si="23"/>
        <v>64.734743182074425</v>
      </c>
      <c r="L236" s="32">
        <f t="shared" si="28"/>
        <v>64.197844836441419</v>
      </c>
      <c r="M236" s="32">
        <f t="shared" si="25"/>
        <v>64.197844836441419</v>
      </c>
    </row>
    <row r="237" spans="2:13" x14ac:dyDescent="0.25">
      <c r="B237" s="31">
        <v>97</v>
      </c>
      <c r="C237" s="32">
        <f t="shared" si="26"/>
        <v>1.9400000000000013</v>
      </c>
      <c r="D237" s="35">
        <f t="shared" si="27"/>
        <v>80</v>
      </c>
      <c r="E237" s="32">
        <f t="shared" si="24"/>
        <v>77.134098756141611</v>
      </c>
      <c r="F237" s="32">
        <f t="shared" si="23"/>
        <v>74.363549217486963</v>
      </c>
      <c r="G237" s="32">
        <f t="shared" si="23"/>
        <v>71.789127508148979</v>
      </c>
      <c r="H237" s="32">
        <f t="shared" si="23"/>
        <v>69.488758389699797</v>
      </c>
      <c r="I237" s="32">
        <f t="shared" si="23"/>
        <v>67.552522336463952</v>
      </c>
      <c r="J237" s="32">
        <f t="shared" si="23"/>
        <v>66.03419668083481</v>
      </c>
      <c r="K237" s="32">
        <f t="shared" ref="F237:K252" si="29">(J236+L236)/2</f>
        <v>64.996416002677293</v>
      </c>
      <c r="L237" s="32">
        <f t="shared" si="28"/>
        <v>64.466294009257922</v>
      </c>
      <c r="M237" s="32">
        <f t="shared" si="25"/>
        <v>64.466294009257922</v>
      </c>
    </row>
    <row r="238" spans="2:13" x14ac:dyDescent="0.25">
      <c r="B238" s="31">
        <v>98</v>
      </c>
      <c r="C238" s="32">
        <f t="shared" si="26"/>
        <v>1.9600000000000013</v>
      </c>
      <c r="D238" s="35">
        <f t="shared" si="27"/>
        <v>80</v>
      </c>
      <c r="E238" s="32">
        <f t="shared" si="24"/>
        <v>77.181774608743481</v>
      </c>
      <c r="F238" s="32">
        <f t="shared" si="29"/>
        <v>74.461613132145288</v>
      </c>
      <c r="G238" s="32">
        <f t="shared" si="29"/>
        <v>71.92615380359338</v>
      </c>
      <c r="H238" s="32">
        <f t="shared" si="29"/>
        <v>69.670824922306466</v>
      </c>
      <c r="I238" s="32">
        <f t="shared" si="29"/>
        <v>67.761477535267304</v>
      </c>
      <c r="J238" s="32">
        <f t="shared" si="29"/>
        <v>66.274469169570622</v>
      </c>
      <c r="K238" s="32">
        <f t="shared" si="29"/>
        <v>65.250245345046366</v>
      </c>
      <c r="L238" s="32">
        <f t="shared" si="28"/>
        <v>64.7313550059676</v>
      </c>
      <c r="M238" s="32">
        <f t="shared" si="25"/>
        <v>64.7313550059676</v>
      </c>
    </row>
    <row r="239" spans="2:13" x14ac:dyDescent="0.25">
      <c r="B239" s="31">
        <v>99</v>
      </c>
      <c r="C239" s="32">
        <f t="shared" si="26"/>
        <v>1.9800000000000013</v>
      </c>
      <c r="D239" s="35">
        <f t="shared" si="27"/>
        <v>80</v>
      </c>
      <c r="E239" s="32">
        <f t="shared" si="24"/>
        <v>77.230806566072644</v>
      </c>
      <c r="F239" s="32">
        <f t="shared" si="29"/>
        <v>74.55396420616843</v>
      </c>
      <c r="G239" s="32">
        <f t="shared" si="29"/>
        <v>72.066219027225884</v>
      </c>
      <c r="H239" s="32">
        <f t="shared" si="29"/>
        <v>69.843815669430342</v>
      </c>
      <c r="I239" s="32">
        <f t="shared" si="29"/>
        <v>67.972647045938544</v>
      </c>
      <c r="J239" s="32">
        <f t="shared" si="29"/>
        <v>66.505861440156835</v>
      </c>
      <c r="K239" s="32">
        <f t="shared" si="29"/>
        <v>65.502912087769118</v>
      </c>
      <c r="L239" s="32">
        <f t="shared" si="28"/>
        <v>64.99080017550699</v>
      </c>
      <c r="M239" s="32">
        <f t="shared" si="25"/>
        <v>64.99080017550699</v>
      </c>
    </row>
    <row r="240" spans="2:13" x14ac:dyDescent="0.25">
      <c r="B240" s="31">
        <v>100</v>
      </c>
      <c r="C240" s="32">
        <f t="shared" si="26"/>
        <v>2.0000000000000013</v>
      </c>
      <c r="D240" s="35">
        <f t="shared" si="27"/>
        <v>80</v>
      </c>
      <c r="E240" s="32">
        <f t="shared" si="24"/>
        <v>77.276982103084208</v>
      </c>
      <c r="F240" s="32">
        <f t="shared" si="29"/>
        <v>74.648512796649271</v>
      </c>
      <c r="G240" s="32">
        <f t="shared" si="29"/>
        <v>72.198889937799379</v>
      </c>
      <c r="H240" s="32">
        <f t="shared" si="29"/>
        <v>70.019433036582214</v>
      </c>
      <c r="I240" s="32">
        <f t="shared" si="29"/>
        <v>68.174838554793581</v>
      </c>
      <c r="J240" s="32">
        <f t="shared" si="29"/>
        <v>66.737779566853831</v>
      </c>
      <c r="K240" s="32">
        <f t="shared" si="29"/>
        <v>65.748330807831906</v>
      </c>
      <c r="L240" s="32">
        <f t="shared" si="28"/>
        <v>65.246856131638054</v>
      </c>
      <c r="M240" s="32">
        <f t="shared" si="25"/>
        <v>65.246856131638054</v>
      </c>
    </row>
    <row r="241" spans="2:13" x14ac:dyDescent="0.25">
      <c r="B241" s="31">
        <v>101</v>
      </c>
      <c r="C241" s="32">
        <f t="shared" si="26"/>
        <v>2.0200000000000014</v>
      </c>
      <c r="D241" s="35">
        <f t="shared" si="27"/>
        <v>80</v>
      </c>
      <c r="E241" s="32">
        <f t="shared" si="24"/>
        <v>77.324256398324636</v>
      </c>
      <c r="F241" s="32">
        <f t="shared" si="29"/>
        <v>74.737936020441794</v>
      </c>
      <c r="G241" s="32">
        <f t="shared" si="29"/>
        <v>72.33397291661575</v>
      </c>
      <c r="H241" s="32">
        <f t="shared" si="29"/>
        <v>70.18686424629648</v>
      </c>
      <c r="I241" s="32">
        <f t="shared" si="29"/>
        <v>68.378606301718023</v>
      </c>
      <c r="J241" s="32">
        <f t="shared" si="29"/>
        <v>66.961584681312743</v>
      </c>
      <c r="K241" s="32">
        <f t="shared" si="29"/>
        <v>65.99231784924595</v>
      </c>
      <c r="L241" s="32">
        <f t="shared" si="28"/>
        <v>65.49759346973498</v>
      </c>
      <c r="M241" s="32">
        <f t="shared" si="25"/>
        <v>65.49759346973498</v>
      </c>
    </row>
    <row r="242" spans="2:13" x14ac:dyDescent="0.25">
      <c r="B242" s="31">
        <v>102</v>
      </c>
      <c r="C242" s="32">
        <f t="shared" si="26"/>
        <v>2.0400000000000014</v>
      </c>
      <c r="D242" s="35">
        <f t="shared" si="27"/>
        <v>80</v>
      </c>
      <c r="E242" s="32">
        <f t="shared" si="24"/>
        <v>77.368968010220897</v>
      </c>
      <c r="F242" s="32">
        <f t="shared" si="29"/>
        <v>74.8291146574702</v>
      </c>
      <c r="G242" s="32">
        <f t="shared" si="29"/>
        <v>72.46240013336913</v>
      </c>
      <c r="H242" s="32">
        <f t="shared" si="29"/>
        <v>70.356289609166879</v>
      </c>
      <c r="I242" s="32">
        <f t="shared" si="29"/>
        <v>68.574224463804612</v>
      </c>
      <c r="J242" s="32">
        <f t="shared" si="29"/>
        <v>67.185462075481979</v>
      </c>
      <c r="K242" s="32">
        <f t="shared" si="29"/>
        <v>66.229589075523862</v>
      </c>
      <c r="L242" s="32">
        <f t="shared" si="28"/>
        <v>65.744955659490472</v>
      </c>
      <c r="M242" s="32">
        <f t="shared" si="25"/>
        <v>65.744955659490472</v>
      </c>
    </row>
    <row r="243" spans="2:13" x14ac:dyDescent="0.25">
      <c r="B243" s="31">
        <v>103</v>
      </c>
      <c r="C243" s="32">
        <f t="shared" si="26"/>
        <v>2.0600000000000014</v>
      </c>
      <c r="D243" s="35">
        <f t="shared" si="27"/>
        <v>80</v>
      </c>
      <c r="E243" s="32">
        <f t="shared" si="24"/>
        <v>77.4145573287351</v>
      </c>
      <c r="F243" s="32">
        <f t="shared" si="29"/>
        <v>74.915684071795013</v>
      </c>
      <c r="G243" s="32">
        <f t="shared" si="29"/>
        <v>72.592702133318539</v>
      </c>
      <c r="H243" s="32">
        <f t="shared" si="29"/>
        <v>70.518312298586864</v>
      </c>
      <c r="I243" s="32">
        <f t="shared" si="29"/>
        <v>68.770875842324429</v>
      </c>
      <c r="J243" s="32">
        <f t="shared" si="29"/>
        <v>67.401906769664237</v>
      </c>
      <c r="K243" s="32">
        <f t="shared" si="29"/>
        <v>66.465208867486226</v>
      </c>
      <c r="L243" s="32">
        <f t="shared" si="28"/>
        <v>65.98727236750716</v>
      </c>
      <c r="M243" s="32">
        <f t="shared" si="25"/>
        <v>65.98727236750716</v>
      </c>
    </row>
    <row r="244" spans="2:13" x14ac:dyDescent="0.25">
      <c r="B244" s="31">
        <v>104</v>
      </c>
      <c r="C244" s="32">
        <f t="shared" si="26"/>
        <v>2.0800000000000014</v>
      </c>
      <c r="D244" s="35">
        <f t="shared" si="27"/>
        <v>80</v>
      </c>
      <c r="E244" s="32">
        <f t="shared" si="24"/>
        <v>77.457842035897499</v>
      </c>
      <c r="F244" s="32">
        <f t="shared" si="29"/>
        <v>75.00362973102682</v>
      </c>
      <c r="G244" s="32">
        <f t="shared" si="29"/>
        <v>72.716998185190931</v>
      </c>
      <c r="H244" s="32">
        <f t="shared" si="29"/>
        <v>70.681788987821477</v>
      </c>
      <c r="I244" s="32">
        <f t="shared" si="29"/>
        <v>68.96010953412555</v>
      </c>
      <c r="J244" s="32">
        <f t="shared" si="29"/>
        <v>67.618042354905327</v>
      </c>
      <c r="K244" s="32">
        <f t="shared" si="29"/>
        <v>66.694589568585698</v>
      </c>
      <c r="L244" s="32">
        <f t="shared" si="28"/>
        <v>66.2262406174967</v>
      </c>
      <c r="M244" s="32">
        <f t="shared" si="25"/>
        <v>66.2262406174967</v>
      </c>
    </row>
    <row r="245" spans="2:13" x14ac:dyDescent="0.25">
      <c r="B245" s="31">
        <v>105</v>
      </c>
      <c r="C245" s="32">
        <f t="shared" si="26"/>
        <v>2.1000000000000014</v>
      </c>
      <c r="D245" s="35">
        <f t="shared" si="27"/>
        <v>80</v>
      </c>
      <c r="E245" s="32">
        <f t="shared" si="24"/>
        <v>77.50181486551341</v>
      </c>
      <c r="F245" s="32">
        <f t="shared" si="29"/>
        <v>75.087420110544215</v>
      </c>
      <c r="G245" s="32">
        <f t="shared" si="29"/>
        <v>72.842709359424148</v>
      </c>
      <c r="H245" s="32">
        <f t="shared" si="29"/>
        <v>70.838553859658248</v>
      </c>
      <c r="I245" s="32">
        <f t="shared" si="29"/>
        <v>69.149915671363402</v>
      </c>
      <c r="J245" s="32">
        <f t="shared" si="29"/>
        <v>67.827349551355624</v>
      </c>
      <c r="K245" s="32">
        <f t="shared" si="29"/>
        <v>66.922141486201014</v>
      </c>
      <c r="L245" s="32">
        <f t="shared" si="28"/>
        <v>66.460415093041206</v>
      </c>
      <c r="M245" s="32">
        <f t="shared" si="25"/>
        <v>66.460415093041206</v>
      </c>
    </row>
    <row r="246" spans="2:13" x14ac:dyDescent="0.25">
      <c r="B246" s="31">
        <v>106</v>
      </c>
      <c r="C246" s="32">
        <f t="shared" si="26"/>
        <v>2.1200000000000014</v>
      </c>
      <c r="D246" s="35">
        <f t="shared" si="27"/>
        <v>80</v>
      </c>
      <c r="E246" s="32">
        <f t="shared" si="24"/>
        <v>77.543710055272101</v>
      </c>
      <c r="F246" s="32">
        <f t="shared" si="29"/>
        <v>75.172262112468786</v>
      </c>
      <c r="G246" s="32">
        <f t="shared" si="29"/>
        <v>72.962986985101224</v>
      </c>
      <c r="H246" s="32">
        <f t="shared" si="29"/>
        <v>70.996312515393782</v>
      </c>
      <c r="I246" s="32">
        <f t="shared" si="29"/>
        <v>69.332951705506929</v>
      </c>
      <c r="J246" s="32">
        <f t="shared" si="29"/>
        <v>68.036028578782208</v>
      </c>
      <c r="K246" s="32">
        <f t="shared" si="29"/>
        <v>67.143882322198408</v>
      </c>
      <c r="L246" s="32">
        <f t="shared" si="28"/>
        <v>66.69127828962111</v>
      </c>
      <c r="M246" s="32">
        <f t="shared" si="25"/>
        <v>66.69127828962111</v>
      </c>
    </row>
    <row r="247" spans="2:13" x14ac:dyDescent="0.25">
      <c r="B247" s="31">
        <v>107</v>
      </c>
      <c r="C247" s="32">
        <f t="shared" si="26"/>
        <v>2.1400000000000015</v>
      </c>
      <c r="D247" s="35">
        <f t="shared" si="27"/>
        <v>80</v>
      </c>
      <c r="E247" s="32">
        <f t="shared" si="24"/>
        <v>77.586131056234393</v>
      </c>
      <c r="F247" s="32">
        <f t="shared" si="29"/>
        <v>75.253348520186663</v>
      </c>
      <c r="G247" s="32">
        <f t="shared" si="29"/>
        <v>73.084287313931284</v>
      </c>
      <c r="H247" s="32">
        <f t="shared" si="29"/>
        <v>71.147969345304077</v>
      </c>
      <c r="I247" s="32">
        <f t="shared" si="29"/>
        <v>69.516170547087995</v>
      </c>
      <c r="J247" s="32">
        <f t="shared" si="29"/>
        <v>68.238417013852668</v>
      </c>
      <c r="K247" s="32">
        <f t="shared" si="29"/>
        <v>67.363653434201666</v>
      </c>
      <c r="L247" s="32">
        <f t="shared" si="28"/>
        <v>66.917580305909752</v>
      </c>
      <c r="M247" s="32">
        <f t="shared" si="25"/>
        <v>66.917580305909752</v>
      </c>
    </row>
    <row r="248" spans="2:13" x14ac:dyDescent="0.25">
      <c r="B248" s="31">
        <v>108</v>
      </c>
      <c r="C248" s="32">
        <f t="shared" si="26"/>
        <v>2.1600000000000015</v>
      </c>
      <c r="D248" s="35">
        <f t="shared" si="27"/>
        <v>80</v>
      </c>
      <c r="E248" s="32">
        <f t="shared" si="24"/>
        <v>77.626674260093324</v>
      </c>
      <c r="F248" s="32">
        <f t="shared" si="29"/>
        <v>75.335209185082846</v>
      </c>
      <c r="G248" s="32">
        <f t="shared" si="29"/>
        <v>73.20065893274537</v>
      </c>
      <c r="H248" s="32">
        <f t="shared" si="29"/>
        <v>71.300228930509633</v>
      </c>
      <c r="I248" s="32">
        <f t="shared" si="29"/>
        <v>69.693193179578373</v>
      </c>
      <c r="J248" s="32">
        <f t="shared" si="29"/>
        <v>68.439911990644831</v>
      </c>
      <c r="K248" s="32">
        <f t="shared" si="29"/>
        <v>67.577998659881217</v>
      </c>
      <c r="L248" s="32">
        <f t="shared" si="28"/>
        <v>67.140616870055709</v>
      </c>
      <c r="M248" s="32">
        <f t="shared" si="25"/>
        <v>67.140616870055709</v>
      </c>
    </row>
    <row r="249" spans="2:13" x14ac:dyDescent="0.25">
      <c r="B249" s="31">
        <v>109</v>
      </c>
      <c r="C249" s="32">
        <f t="shared" si="26"/>
        <v>2.1800000000000015</v>
      </c>
      <c r="D249" s="35">
        <f t="shared" si="27"/>
        <v>80</v>
      </c>
      <c r="E249" s="32">
        <f t="shared" si="24"/>
        <v>77.667604592541423</v>
      </c>
      <c r="F249" s="32">
        <f t="shared" si="29"/>
        <v>75.413666596419347</v>
      </c>
      <c r="G249" s="32">
        <f t="shared" si="29"/>
        <v>73.317719057796239</v>
      </c>
      <c r="H249" s="32">
        <f t="shared" si="29"/>
        <v>71.446926056161871</v>
      </c>
      <c r="I249" s="32">
        <f t="shared" si="29"/>
        <v>69.870070460577239</v>
      </c>
      <c r="J249" s="32">
        <f t="shared" si="29"/>
        <v>68.635595919729795</v>
      </c>
      <c r="K249" s="32">
        <f t="shared" si="29"/>
        <v>67.790264430350277</v>
      </c>
      <c r="L249" s="32">
        <f t="shared" si="28"/>
        <v>67.359307764968463</v>
      </c>
      <c r="M249" s="32">
        <f t="shared" si="25"/>
        <v>67.359307764968463</v>
      </c>
    </row>
    <row r="250" spans="2:13" x14ac:dyDescent="0.25">
      <c r="B250" s="31">
        <v>110</v>
      </c>
      <c r="C250" s="32">
        <f t="shared" si="26"/>
        <v>2.2000000000000015</v>
      </c>
      <c r="D250" s="35">
        <f t="shared" si="27"/>
        <v>80</v>
      </c>
      <c r="E250" s="32">
        <f t="shared" si="24"/>
        <v>77.706833298209673</v>
      </c>
      <c r="F250" s="32">
        <f t="shared" si="29"/>
        <v>75.492661825168824</v>
      </c>
      <c r="G250" s="32">
        <f t="shared" si="29"/>
        <v>73.430296326290602</v>
      </c>
      <c r="H250" s="32">
        <f t="shared" si="29"/>
        <v>71.593894759186739</v>
      </c>
      <c r="I250" s="32">
        <f t="shared" si="29"/>
        <v>70.041260987945833</v>
      </c>
      <c r="J250" s="32">
        <f t="shared" si="29"/>
        <v>68.830167445463758</v>
      </c>
      <c r="K250" s="32">
        <f t="shared" si="29"/>
        <v>67.997451842349136</v>
      </c>
      <c r="L250" s="32">
        <f t="shared" si="28"/>
        <v>67.57478609765937</v>
      </c>
      <c r="M250" s="32">
        <f t="shared" si="25"/>
        <v>67.57478609765937</v>
      </c>
    </row>
    <row r="251" spans="2:13" x14ac:dyDescent="0.25">
      <c r="B251" s="31">
        <v>111</v>
      </c>
      <c r="C251" s="32">
        <f t="shared" si="26"/>
        <v>2.2200000000000015</v>
      </c>
      <c r="D251" s="35">
        <f t="shared" si="27"/>
        <v>80</v>
      </c>
      <c r="E251" s="32">
        <f t="shared" si="24"/>
        <v>77.746330912584412</v>
      </c>
      <c r="F251" s="32">
        <f t="shared" si="29"/>
        <v>75.568564812250145</v>
      </c>
      <c r="G251" s="32">
        <f t="shared" si="29"/>
        <v>73.543278292177774</v>
      </c>
      <c r="H251" s="32">
        <f t="shared" si="29"/>
        <v>71.735778657118217</v>
      </c>
      <c r="I251" s="32">
        <f t="shared" si="29"/>
        <v>70.212031102325255</v>
      </c>
      <c r="J251" s="32">
        <f t="shared" si="29"/>
        <v>69.019356415147485</v>
      </c>
      <c r="K251" s="32">
        <f t="shared" si="29"/>
        <v>68.202476771561564</v>
      </c>
      <c r="L251" s="32">
        <f t="shared" si="28"/>
        <v>67.786118970004253</v>
      </c>
      <c r="M251" s="32">
        <f t="shared" si="25"/>
        <v>67.786118970004253</v>
      </c>
    </row>
    <row r="252" spans="2:13" x14ac:dyDescent="0.25">
      <c r="B252" s="31">
        <v>112</v>
      </c>
      <c r="C252" s="32">
        <f t="shared" si="26"/>
        <v>2.2400000000000015</v>
      </c>
      <c r="D252" s="35">
        <f t="shared" si="27"/>
        <v>80</v>
      </c>
      <c r="E252" s="32">
        <f t="shared" si="24"/>
        <v>77.784282406125072</v>
      </c>
      <c r="F252" s="32">
        <f t="shared" si="29"/>
        <v>75.6448046023811</v>
      </c>
      <c r="G252" s="32">
        <f t="shared" si="29"/>
        <v>73.652171734684174</v>
      </c>
      <c r="H252" s="32">
        <f t="shared" si="29"/>
        <v>71.877654697251515</v>
      </c>
      <c r="I252" s="32">
        <f t="shared" si="29"/>
        <v>70.377567536132858</v>
      </c>
      <c r="J252" s="32">
        <f t="shared" si="29"/>
        <v>69.207253936943403</v>
      </c>
      <c r="K252" s="32">
        <f t="shared" si="29"/>
        <v>68.402737692575869</v>
      </c>
      <c r="L252" s="32">
        <f t="shared" si="28"/>
        <v>67.994297870782901</v>
      </c>
      <c r="M252" s="32">
        <f t="shared" si="25"/>
        <v>67.994297870782901</v>
      </c>
    </row>
    <row r="253" spans="2:13" x14ac:dyDescent="0.25">
      <c r="B253" s="31">
        <v>113</v>
      </c>
      <c r="C253" s="32">
        <f t="shared" si="26"/>
        <v>2.2600000000000016</v>
      </c>
      <c r="D253" s="35">
        <f t="shared" si="27"/>
        <v>80</v>
      </c>
      <c r="E253" s="32">
        <f t="shared" si="24"/>
        <v>77.82240230119055</v>
      </c>
      <c r="F253" s="32">
        <f t="shared" si="24"/>
        <v>75.718227070404623</v>
      </c>
      <c r="G253" s="32">
        <f t="shared" si="24"/>
        <v>73.7612296498163</v>
      </c>
      <c r="H253" s="32">
        <f t="shared" si="24"/>
        <v>72.014869635408516</v>
      </c>
      <c r="I253" s="32">
        <f t="shared" si="24"/>
        <v>70.542454317097452</v>
      </c>
      <c r="J253" s="32">
        <f t="shared" si="24"/>
        <v>69.390152614354363</v>
      </c>
      <c r="K253" s="32">
        <f t="shared" si="24"/>
        <v>68.600775903863152</v>
      </c>
      <c r="L253" s="32">
        <f t="shared" si="28"/>
        <v>68.198517781679385</v>
      </c>
      <c r="M253" s="32">
        <f t="shared" si="25"/>
        <v>68.198517781679385</v>
      </c>
    </row>
    <row r="254" spans="2:13" x14ac:dyDescent="0.25">
      <c r="B254" s="31">
        <v>114</v>
      </c>
      <c r="C254" s="32">
        <f t="shared" si="26"/>
        <v>2.2800000000000016</v>
      </c>
      <c r="D254" s="35">
        <f t="shared" si="27"/>
        <v>80</v>
      </c>
      <c r="E254" s="32">
        <f t="shared" ref="E254:K269" si="30">(D253+F253)/2</f>
        <v>77.859113535202312</v>
      </c>
      <c r="F254" s="32">
        <f t="shared" si="30"/>
        <v>75.791815975503425</v>
      </c>
      <c r="G254" s="32">
        <f t="shared" si="30"/>
        <v>73.866548352906563</v>
      </c>
      <c r="H254" s="32">
        <f t="shared" si="30"/>
        <v>72.151841983456876</v>
      </c>
      <c r="I254" s="32">
        <f t="shared" si="30"/>
        <v>70.70251112488144</v>
      </c>
      <c r="J254" s="32">
        <f t="shared" si="30"/>
        <v>69.571615110480309</v>
      </c>
      <c r="K254" s="32">
        <f t="shared" si="30"/>
        <v>68.794335198016881</v>
      </c>
      <c r="L254" s="32">
        <f t="shared" si="28"/>
        <v>68.399646842771261</v>
      </c>
      <c r="M254" s="32">
        <f t="shared" si="25"/>
        <v>68.399646842771261</v>
      </c>
    </row>
    <row r="255" spans="2:13" x14ac:dyDescent="0.25">
      <c r="B255" s="31">
        <v>115</v>
      </c>
      <c r="C255" s="32">
        <f t="shared" si="26"/>
        <v>2.3000000000000016</v>
      </c>
      <c r="D255" s="35">
        <f t="shared" si="27"/>
        <v>80</v>
      </c>
      <c r="E255" s="32">
        <f t="shared" si="30"/>
        <v>77.895907987751713</v>
      </c>
      <c r="F255" s="32">
        <f t="shared" si="30"/>
        <v>75.862830944054437</v>
      </c>
      <c r="G255" s="32">
        <f t="shared" si="30"/>
        <v>73.971828979480151</v>
      </c>
      <c r="H255" s="32">
        <f t="shared" si="30"/>
        <v>72.284529738894008</v>
      </c>
      <c r="I255" s="32">
        <f t="shared" si="30"/>
        <v>70.861728546968592</v>
      </c>
      <c r="J255" s="32">
        <f t="shared" si="30"/>
        <v>69.748423161449153</v>
      </c>
      <c r="K255" s="32">
        <f t="shared" si="30"/>
        <v>68.985630976625785</v>
      </c>
      <c r="L255" s="32">
        <f t="shared" si="28"/>
        <v>68.596991020394071</v>
      </c>
      <c r="M255" s="32">
        <f t="shared" si="25"/>
        <v>68.596991020394071</v>
      </c>
    </row>
    <row r="256" spans="2:13" x14ac:dyDescent="0.25">
      <c r="B256" s="31">
        <v>116</v>
      </c>
      <c r="C256" s="32">
        <f t="shared" ref="C256:C263" si="31">C255+$E$138</f>
        <v>2.3200000000000016</v>
      </c>
      <c r="D256" s="35">
        <f t="shared" ref="D256:D263" si="32">D255</f>
        <v>80</v>
      </c>
      <c r="E256" s="32">
        <f t="shared" si="30"/>
        <v>77.931415472027226</v>
      </c>
      <c r="F256" s="32">
        <f t="shared" si="30"/>
        <v>75.933868483615925</v>
      </c>
      <c r="G256" s="32">
        <f t="shared" si="30"/>
        <v>74.073680341474216</v>
      </c>
      <c r="H256" s="32">
        <f t="shared" si="30"/>
        <v>72.416778763224372</v>
      </c>
      <c r="I256" s="32">
        <f t="shared" si="30"/>
        <v>71.016476450171581</v>
      </c>
      <c r="J256" s="32">
        <f t="shared" si="30"/>
        <v>69.923679761797189</v>
      </c>
      <c r="K256" s="32">
        <f t="shared" si="30"/>
        <v>69.17270709092162</v>
      </c>
      <c r="L256" s="32">
        <f t="shared" si="28"/>
        <v>68.791310998509928</v>
      </c>
      <c r="M256" s="32">
        <f t="shared" si="25"/>
        <v>68.791310998509928</v>
      </c>
    </row>
    <row r="257" spans="2:13" x14ac:dyDescent="0.25">
      <c r="B257" s="31">
        <v>117</v>
      </c>
      <c r="C257" s="32">
        <f t="shared" si="31"/>
        <v>2.3400000000000016</v>
      </c>
      <c r="D257" s="35">
        <f t="shared" si="32"/>
        <v>80</v>
      </c>
      <c r="E257" s="32">
        <f t="shared" si="30"/>
        <v>77.966934241807962</v>
      </c>
      <c r="F257" s="32">
        <f t="shared" si="30"/>
        <v>76.002547906750721</v>
      </c>
      <c r="G257" s="32">
        <f t="shared" si="30"/>
        <v>74.175323623420155</v>
      </c>
      <c r="H257" s="32">
        <f t="shared" si="30"/>
        <v>72.545078395822898</v>
      </c>
      <c r="I257" s="32">
        <f t="shared" si="30"/>
        <v>71.170229262510787</v>
      </c>
      <c r="J257" s="32">
        <f t="shared" si="30"/>
        <v>70.0945917705466</v>
      </c>
      <c r="K257" s="32">
        <f t="shared" si="30"/>
        <v>69.357495380153551</v>
      </c>
      <c r="L257" s="32">
        <f t="shared" si="28"/>
        <v>68.982009044715767</v>
      </c>
      <c r="M257" s="32">
        <f t="shared" si="25"/>
        <v>68.982009044715767</v>
      </c>
    </row>
    <row r="258" spans="2:13" x14ac:dyDescent="0.25">
      <c r="B258" s="31">
        <v>118</v>
      </c>
      <c r="C258" s="32">
        <f t="shared" si="31"/>
        <v>2.3600000000000017</v>
      </c>
      <c r="D258" s="35">
        <f t="shared" si="32"/>
        <v>80</v>
      </c>
      <c r="E258" s="32">
        <f t="shared" si="30"/>
        <v>78.00127395337536</v>
      </c>
      <c r="F258" s="32">
        <f t="shared" si="30"/>
        <v>76.071128932614059</v>
      </c>
      <c r="G258" s="32">
        <f t="shared" si="30"/>
        <v>74.273813151286816</v>
      </c>
      <c r="H258" s="32">
        <f t="shared" si="30"/>
        <v>72.672776442965471</v>
      </c>
      <c r="I258" s="32">
        <f t="shared" si="30"/>
        <v>71.319835083184756</v>
      </c>
      <c r="J258" s="32">
        <f t="shared" si="30"/>
        <v>70.263862321332169</v>
      </c>
      <c r="K258" s="32">
        <f t="shared" si="30"/>
        <v>69.538300407631183</v>
      </c>
      <c r="L258" s="32">
        <f t="shared" si="28"/>
        <v>69.169752212434659</v>
      </c>
      <c r="M258" s="32">
        <f t="shared" si="25"/>
        <v>69.169752212434659</v>
      </c>
    </row>
    <row r="259" spans="2:13" x14ac:dyDescent="0.25">
      <c r="B259" s="31">
        <v>119</v>
      </c>
      <c r="C259" s="32">
        <f t="shared" si="31"/>
        <v>2.3800000000000017</v>
      </c>
      <c r="D259" s="35">
        <f t="shared" si="32"/>
        <v>80</v>
      </c>
      <c r="E259" s="32">
        <f t="shared" si="30"/>
        <v>78.035564466307022</v>
      </c>
      <c r="F259" s="32">
        <f t="shared" si="30"/>
        <v>76.137543552331095</v>
      </c>
      <c r="G259" s="32">
        <f t="shared" si="30"/>
        <v>74.371952687789758</v>
      </c>
      <c r="H259" s="32">
        <f t="shared" si="30"/>
        <v>72.796824117235786</v>
      </c>
      <c r="I259" s="32">
        <f t="shared" si="30"/>
        <v>71.46831938214882</v>
      </c>
      <c r="J259" s="32">
        <f t="shared" si="30"/>
        <v>70.429067745407963</v>
      </c>
      <c r="K259" s="32">
        <f t="shared" si="30"/>
        <v>69.716807266883421</v>
      </c>
      <c r="L259" s="32">
        <f t="shared" si="28"/>
        <v>69.354026310032921</v>
      </c>
      <c r="M259" s="32">
        <f t="shared" si="25"/>
        <v>69.354026310032921</v>
      </c>
    </row>
    <row r="260" spans="2:13" x14ac:dyDescent="0.25">
      <c r="B260" s="31">
        <v>120</v>
      </c>
      <c r="C260" s="32">
        <f t="shared" si="31"/>
        <v>2.4000000000000017</v>
      </c>
      <c r="D260" s="35">
        <f t="shared" si="32"/>
        <v>80</v>
      </c>
      <c r="E260" s="32">
        <f t="shared" si="30"/>
        <v>78.068771776165548</v>
      </c>
      <c r="F260" s="32">
        <f t="shared" si="30"/>
        <v>76.20375857704839</v>
      </c>
      <c r="G260" s="32">
        <f t="shared" si="30"/>
        <v>74.467183834783441</v>
      </c>
      <c r="H260" s="32">
        <f t="shared" si="30"/>
        <v>72.920136034969289</v>
      </c>
      <c r="I260" s="32">
        <f t="shared" si="30"/>
        <v>71.612945931321875</v>
      </c>
      <c r="J260" s="32">
        <f t="shared" si="30"/>
        <v>70.592563324516121</v>
      </c>
      <c r="K260" s="32">
        <f t="shared" si="30"/>
        <v>69.891547027720435</v>
      </c>
      <c r="L260" s="32">
        <f t="shared" si="28"/>
        <v>69.535416788458178</v>
      </c>
      <c r="M260" s="32">
        <f t="shared" si="25"/>
        <v>69.535416788458178</v>
      </c>
    </row>
    <row r="261" spans="2:13" x14ac:dyDescent="0.25">
      <c r="B261" s="31">
        <v>121</v>
      </c>
      <c r="C261" s="32">
        <f t="shared" si="31"/>
        <v>2.4200000000000017</v>
      </c>
      <c r="D261" s="35">
        <f t="shared" si="32"/>
        <v>80</v>
      </c>
      <c r="E261" s="32">
        <f t="shared" si="30"/>
        <v>78.101879288524202</v>
      </c>
      <c r="F261" s="32">
        <f t="shared" si="30"/>
        <v>76.267977805474487</v>
      </c>
      <c r="G261" s="32">
        <f t="shared" si="30"/>
        <v>74.561947306008847</v>
      </c>
      <c r="H261" s="32">
        <f t="shared" si="30"/>
        <v>73.040064883052651</v>
      </c>
      <c r="I261" s="32">
        <f t="shared" si="30"/>
        <v>71.756349679742698</v>
      </c>
      <c r="J261" s="32">
        <f t="shared" si="30"/>
        <v>70.752246479521148</v>
      </c>
      <c r="K261" s="32">
        <f t="shared" si="30"/>
        <v>70.063990056487143</v>
      </c>
      <c r="L261" s="32">
        <f t="shared" si="28"/>
        <v>69.713481908089307</v>
      </c>
      <c r="M261" s="32">
        <f t="shared" si="25"/>
        <v>69.713481908089307</v>
      </c>
    </row>
    <row r="262" spans="2:13" x14ac:dyDescent="0.25">
      <c r="B262" s="31">
        <v>122</v>
      </c>
      <c r="C262" s="32">
        <f t="shared" si="31"/>
        <v>2.4400000000000017</v>
      </c>
      <c r="D262" s="35">
        <f t="shared" si="32"/>
        <v>80</v>
      </c>
      <c r="E262" s="32">
        <f t="shared" si="30"/>
        <v>78.133988902737244</v>
      </c>
      <c r="F262" s="32">
        <f t="shared" si="30"/>
        <v>76.331913297266524</v>
      </c>
      <c r="G262" s="32">
        <f t="shared" si="30"/>
        <v>74.654021344263569</v>
      </c>
      <c r="H262" s="32">
        <f t="shared" si="30"/>
        <v>73.159148492875772</v>
      </c>
      <c r="I262" s="32">
        <f t="shared" si="30"/>
        <v>71.896155681286899</v>
      </c>
      <c r="J262" s="32">
        <f t="shared" si="30"/>
        <v>70.91016986811492</v>
      </c>
      <c r="K262" s="32">
        <f t="shared" si="30"/>
        <v>70.232864193805227</v>
      </c>
      <c r="L262" s="32">
        <f t="shared" si="28"/>
        <v>69.888735982288225</v>
      </c>
      <c r="M262" s="32">
        <f t="shared" si="25"/>
        <v>69.888735982288225</v>
      </c>
    </row>
    <row r="263" spans="2:13" x14ac:dyDescent="0.25">
      <c r="B263" s="31">
        <v>123</v>
      </c>
      <c r="C263" s="32">
        <f t="shared" si="31"/>
        <v>2.4600000000000017</v>
      </c>
      <c r="D263" s="35">
        <f t="shared" si="32"/>
        <v>80</v>
      </c>
      <c r="E263" s="32">
        <f t="shared" si="30"/>
        <v>78.165956648633255</v>
      </c>
      <c r="F263" s="32">
        <f t="shared" si="30"/>
        <v>76.394005123500406</v>
      </c>
      <c r="G263" s="32">
        <f t="shared" si="30"/>
        <v>74.745530895071141</v>
      </c>
      <c r="H263" s="32">
        <f t="shared" si="30"/>
        <v>73.275088512775227</v>
      </c>
      <c r="I263" s="32">
        <f t="shared" si="30"/>
        <v>72.034659180495339</v>
      </c>
      <c r="J263" s="32">
        <f t="shared" si="30"/>
        <v>71.064509937546063</v>
      </c>
      <c r="K263" s="32">
        <f t="shared" si="30"/>
        <v>70.399452925201572</v>
      </c>
      <c r="L263" s="32">
        <f t="shared" si="28"/>
        <v>70.060800088046733</v>
      </c>
      <c r="M263" s="32">
        <f t="shared" si="25"/>
        <v>70.060800088046733</v>
      </c>
    </row>
    <row r="264" spans="2:13" x14ac:dyDescent="0.25">
      <c r="B264" s="31">
        <v>124</v>
      </c>
      <c r="C264" s="32">
        <f t="shared" ref="C264:C309" si="33">C263+$E$138</f>
        <v>2.4800000000000018</v>
      </c>
      <c r="D264" s="35">
        <f t="shared" ref="D264:D309" si="34">D263</f>
        <v>80</v>
      </c>
      <c r="E264" s="32">
        <f t="shared" si="30"/>
        <v>78.197002561750196</v>
      </c>
      <c r="F264" s="32">
        <f t="shared" si="30"/>
        <v>76.455743771852198</v>
      </c>
      <c r="G264" s="32">
        <f t="shared" si="30"/>
        <v>74.834546818137824</v>
      </c>
      <c r="H264" s="32">
        <f t="shared" si="30"/>
        <v>73.39009503778324</v>
      </c>
      <c r="I264" s="32">
        <f t="shared" si="30"/>
        <v>72.169799225160645</v>
      </c>
      <c r="J264" s="32">
        <f t="shared" si="30"/>
        <v>71.217056052848449</v>
      </c>
      <c r="K264" s="32">
        <f t="shared" si="30"/>
        <v>70.562655012796398</v>
      </c>
      <c r="L264" s="32">
        <f t="shared" si="28"/>
        <v>70.230126506624146</v>
      </c>
      <c r="M264" s="32">
        <f t="shared" si="25"/>
        <v>70.230126506624146</v>
      </c>
    </row>
    <row r="265" spans="2:13" x14ac:dyDescent="0.25">
      <c r="B265" s="31">
        <v>125</v>
      </c>
      <c r="C265" s="32">
        <f t="shared" si="33"/>
        <v>2.5000000000000018</v>
      </c>
      <c r="D265" s="35">
        <f t="shared" si="34"/>
        <v>80</v>
      </c>
      <c r="E265" s="32">
        <f t="shared" si="30"/>
        <v>78.227871885926106</v>
      </c>
      <c r="F265" s="32">
        <f t="shared" si="30"/>
        <v>76.51577468994401</v>
      </c>
      <c r="G265" s="32">
        <f t="shared" si="30"/>
        <v>74.922919404817719</v>
      </c>
      <c r="H265" s="32">
        <f t="shared" si="30"/>
        <v>73.502173021649241</v>
      </c>
      <c r="I265" s="32">
        <f t="shared" si="30"/>
        <v>72.303575545315852</v>
      </c>
      <c r="J265" s="32">
        <f t="shared" si="30"/>
        <v>71.366227118978514</v>
      </c>
      <c r="K265" s="32">
        <f t="shared" si="30"/>
        <v>70.723591279736297</v>
      </c>
      <c r="L265" s="32">
        <f t="shared" si="28"/>
        <v>70.396390759710272</v>
      </c>
      <c r="M265" s="32">
        <f t="shared" si="25"/>
        <v>70.396390759710272</v>
      </c>
    </row>
    <row r="266" spans="2:13" x14ac:dyDescent="0.25">
      <c r="B266" s="31">
        <v>126</v>
      </c>
      <c r="C266" s="32">
        <f t="shared" si="33"/>
        <v>2.5200000000000018</v>
      </c>
      <c r="D266" s="35">
        <f t="shared" si="34"/>
        <v>80</v>
      </c>
      <c r="E266" s="32">
        <f t="shared" si="30"/>
        <v>78.257887344972005</v>
      </c>
      <c r="F266" s="32">
        <f t="shared" si="30"/>
        <v>76.575395645371913</v>
      </c>
      <c r="G266" s="32">
        <f t="shared" si="30"/>
        <v>75.008973855796626</v>
      </c>
      <c r="H266" s="32">
        <f t="shared" si="30"/>
        <v>73.613247475066785</v>
      </c>
      <c r="I266" s="32">
        <f t="shared" si="30"/>
        <v>72.434200070313878</v>
      </c>
      <c r="J266" s="32">
        <f t="shared" si="30"/>
        <v>71.513583412526074</v>
      </c>
      <c r="K266" s="32">
        <f t="shared" si="30"/>
        <v>70.881308939344393</v>
      </c>
      <c r="L266" s="32">
        <f t="shared" si="28"/>
        <v>70.559991019723284</v>
      </c>
      <c r="M266" s="32">
        <f t="shared" si="25"/>
        <v>70.559991019723284</v>
      </c>
    </row>
    <row r="267" spans="2:13" x14ac:dyDescent="0.25">
      <c r="B267" s="31">
        <v>127</v>
      </c>
      <c r="C267" s="32">
        <f t="shared" si="33"/>
        <v>2.5400000000000018</v>
      </c>
      <c r="D267" s="35">
        <f t="shared" si="34"/>
        <v>80</v>
      </c>
      <c r="E267" s="32">
        <f t="shared" si="30"/>
        <v>78.287697822685956</v>
      </c>
      <c r="F267" s="32">
        <f t="shared" si="30"/>
        <v>76.633430600384315</v>
      </c>
      <c r="G267" s="32">
        <f t="shared" si="30"/>
        <v>75.094321560219356</v>
      </c>
      <c r="H267" s="32">
        <f t="shared" si="30"/>
        <v>73.721586963055245</v>
      </c>
      <c r="I267" s="32">
        <f t="shared" si="30"/>
        <v>72.56341544379643</v>
      </c>
      <c r="J267" s="32">
        <f t="shared" si="30"/>
        <v>71.657754504829143</v>
      </c>
      <c r="K267" s="32">
        <f t="shared" si="30"/>
        <v>71.036787216124679</v>
      </c>
      <c r="L267" s="32">
        <f t="shared" si="28"/>
        <v>70.720649979533846</v>
      </c>
      <c r="M267" s="32">
        <f t="shared" si="25"/>
        <v>70.720649979533846</v>
      </c>
    </row>
    <row r="268" spans="2:13" x14ac:dyDescent="0.25">
      <c r="B268" s="31">
        <v>128</v>
      </c>
      <c r="C268" s="32">
        <f t="shared" si="33"/>
        <v>2.5600000000000018</v>
      </c>
      <c r="D268" s="35">
        <f t="shared" si="34"/>
        <v>80</v>
      </c>
      <c r="E268" s="32">
        <f t="shared" si="30"/>
        <v>78.316715300192158</v>
      </c>
      <c r="F268" s="32">
        <f t="shared" si="30"/>
        <v>76.691009691452649</v>
      </c>
      <c r="G268" s="32">
        <f t="shared" si="30"/>
        <v>75.17750878171978</v>
      </c>
      <c r="H268" s="32">
        <f t="shared" si="30"/>
        <v>73.828868502007893</v>
      </c>
      <c r="I268" s="32">
        <f t="shared" si="30"/>
        <v>72.689670733942194</v>
      </c>
      <c r="J268" s="32">
        <f t="shared" si="30"/>
        <v>71.800101329960555</v>
      </c>
      <c r="K268" s="32">
        <f t="shared" si="30"/>
        <v>71.189202242181494</v>
      </c>
      <c r="L268" s="32">
        <f t="shared" si="28"/>
        <v>70.878718597829263</v>
      </c>
      <c r="M268" s="32">
        <f t="shared" si="25"/>
        <v>70.878718597829263</v>
      </c>
    </row>
    <row r="269" spans="2:13" x14ac:dyDescent="0.25">
      <c r="B269" s="31">
        <v>129</v>
      </c>
      <c r="C269" s="32">
        <f t="shared" si="33"/>
        <v>2.5800000000000018</v>
      </c>
      <c r="D269" s="35">
        <f t="shared" si="34"/>
        <v>80</v>
      </c>
      <c r="E269" s="32">
        <f t="shared" si="30"/>
        <v>78.345504845726325</v>
      </c>
      <c r="F269" s="32">
        <f t="shared" si="30"/>
        <v>76.747112040955969</v>
      </c>
      <c r="G269" s="32">
        <f t="shared" si="30"/>
        <v>75.259939096730278</v>
      </c>
      <c r="H269" s="32">
        <f t="shared" si="30"/>
        <v>73.933589757830987</v>
      </c>
      <c r="I269" s="32">
        <f t="shared" si="30"/>
        <v>72.814484915984224</v>
      </c>
      <c r="J269" s="32">
        <f t="shared" si="30"/>
        <v>71.939436488061844</v>
      </c>
      <c r="K269" s="32">
        <f t="shared" si="30"/>
        <v>71.339409963894909</v>
      </c>
      <c r="L269" s="32">
        <f t="shared" si="28"/>
        <v>71.033960420005371</v>
      </c>
      <c r="M269" s="32">
        <f t="shared" ref="M269:M332" si="35">L269</f>
        <v>71.033960420005371</v>
      </c>
    </row>
    <row r="270" spans="2:13" x14ac:dyDescent="0.25">
      <c r="B270" s="31">
        <v>130</v>
      </c>
      <c r="C270" s="32">
        <f t="shared" si="33"/>
        <v>2.6000000000000019</v>
      </c>
      <c r="D270" s="35">
        <f t="shared" si="34"/>
        <v>80</v>
      </c>
      <c r="E270" s="32">
        <f t="shared" ref="E270:K285" si="36">(D269+F269)/2</f>
        <v>78.373556020477992</v>
      </c>
      <c r="F270" s="32">
        <f t="shared" si="36"/>
        <v>76.802721971228294</v>
      </c>
      <c r="G270" s="32">
        <f t="shared" si="36"/>
        <v>75.340350899393485</v>
      </c>
      <c r="H270" s="32">
        <f t="shared" si="36"/>
        <v>74.037212006357251</v>
      </c>
      <c r="I270" s="32">
        <f t="shared" si="36"/>
        <v>72.936513122946423</v>
      </c>
      <c r="J270" s="32">
        <f t="shared" si="36"/>
        <v>72.076947439939573</v>
      </c>
      <c r="K270" s="32">
        <f t="shared" si="36"/>
        <v>71.486698454033615</v>
      </c>
      <c r="L270" s="32">
        <f t="shared" si="28"/>
        <v>71.186685191950147</v>
      </c>
      <c r="M270" s="32">
        <f t="shared" si="35"/>
        <v>71.186685191950147</v>
      </c>
    </row>
    <row r="271" spans="2:13" x14ac:dyDescent="0.25">
      <c r="B271" s="31">
        <v>131</v>
      </c>
      <c r="C271" s="32">
        <f t="shared" si="33"/>
        <v>2.6200000000000019</v>
      </c>
      <c r="D271" s="35">
        <f t="shared" si="34"/>
        <v>80</v>
      </c>
      <c r="E271" s="32">
        <f t="shared" si="36"/>
        <v>78.401360985614147</v>
      </c>
      <c r="F271" s="32">
        <f t="shared" si="36"/>
        <v>76.856953459935738</v>
      </c>
      <c r="G271" s="32">
        <f t="shared" si="36"/>
        <v>75.419966988792766</v>
      </c>
      <c r="H271" s="32">
        <f t="shared" si="36"/>
        <v>74.138432011169954</v>
      </c>
      <c r="I271" s="32">
        <f t="shared" si="36"/>
        <v>73.057079723148405</v>
      </c>
      <c r="J271" s="32">
        <f t="shared" si="36"/>
        <v>72.211605788490019</v>
      </c>
      <c r="K271" s="32">
        <f t="shared" si="36"/>
        <v>71.63181631594486</v>
      </c>
      <c r="L271" s="32">
        <f t="shared" si="28"/>
        <v>71.336691822991881</v>
      </c>
      <c r="M271" s="32">
        <f t="shared" si="35"/>
        <v>71.336691822991881</v>
      </c>
    </row>
    <row r="272" spans="2:13" x14ac:dyDescent="0.25">
      <c r="B272" s="31">
        <v>132</v>
      </c>
      <c r="C272" s="32">
        <f t="shared" si="33"/>
        <v>2.6400000000000019</v>
      </c>
      <c r="D272" s="35">
        <f t="shared" si="34"/>
        <v>80</v>
      </c>
      <c r="E272" s="32">
        <f t="shared" si="36"/>
        <v>78.428476729967869</v>
      </c>
      <c r="F272" s="32">
        <f t="shared" si="36"/>
        <v>76.910663987203463</v>
      </c>
      <c r="G272" s="32">
        <f t="shared" si="36"/>
        <v>75.497692735552846</v>
      </c>
      <c r="H272" s="32">
        <f t="shared" si="36"/>
        <v>74.238523355970585</v>
      </c>
      <c r="I272" s="32">
        <f t="shared" si="36"/>
        <v>73.175018899829979</v>
      </c>
      <c r="J272" s="32">
        <f t="shared" si="36"/>
        <v>72.344448019546633</v>
      </c>
      <c r="K272" s="32">
        <f t="shared" si="36"/>
        <v>71.77414880574095</v>
      </c>
      <c r="L272" s="32">
        <f t="shared" si="28"/>
        <v>71.484254069468363</v>
      </c>
      <c r="M272" s="32">
        <f t="shared" si="35"/>
        <v>71.484254069468363</v>
      </c>
    </row>
    <row r="273" spans="2:13" x14ac:dyDescent="0.25">
      <c r="B273" s="31">
        <v>133</v>
      </c>
      <c r="C273" s="32">
        <f t="shared" si="33"/>
        <v>2.6600000000000019</v>
      </c>
      <c r="D273" s="35">
        <f t="shared" si="34"/>
        <v>80</v>
      </c>
      <c r="E273" s="32">
        <f t="shared" si="36"/>
        <v>78.455331993601732</v>
      </c>
      <c r="F273" s="32">
        <f t="shared" si="36"/>
        <v>76.963084732760365</v>
      </c>
      <c r="G273" s="32">
        <f t="shared" si="36"/>
        <v>75.574593671587024</v>
      </c>
      <c r="H273" s="32">
        <f t="shared" si="36"/>
        <v>74.336355817691413</v>
      </c>
      <c r="I273" s="32">
        <f t="shared" si="36"/>
        <v>73.291485687758609</v>
      </c>
      <c r="J273" s="32">
        <f t="shared" si="36"/>
        <v>72.474583852785457</v>
      </c>
      <c r="K273" s="32">
        <f t="shared" si="36"/>
        <v>71.914351044507498</v>
      </c>
      <c r="L273" s="32">
        <f t="shared" si="28"/>
        <v>71.62920143760465</v>
      </c>
      <c r="M273" s="32">
        <f t="shared" si="35"/>
        <v>71.62920143760465</v>
      </c>
    </row>
    <row r="274" spans="2:13" x14ac:dyDescent="0.25">
      <c r="B274" s="31">
        <v>134</v>
      </c>
      <c r="C274" s="32">
        <f t="shared" si="33"/>
        <v>2.6800000000000019</v>
      </c>
      <c r="D274" s="35">
        <f t="shared" si="34"/>
        <v>80</v>
      </c>
      <c r="E274" s="32">
        <f t="shared" si="36"/>
        <v>78.481542366380182</v>
      </c>
      <c r="F274" s="32">
        <f t="shared" si="36"/>
        <v>77.014962832594378</v>
      </c>
      <c r="G274" s="32">
        <f t="shared" si="36"/>
        <v>75.649720275225889</v>
      </c>
      <c r="H274" s="32">
        <f t="shared" si="36"/>
        <v>74.433039679672817</v>
      </c>
      <c r="I274" s="32">
        <f t="shared" si="36"/>
        <v>73.405469835238435</v>
      </c>
      <c r="J274" s="32">
        <f t="shared" si="36"/>
        <v>72.602918366133053</v>
      </c>
      <c r="K274" s="32">
        <f t="shared" si="36"/>
        <v>72.051892645195053</v>
      </c>
      <c r="L274" s="32">
        <f t="shared" si="28"/>
        <v>71.771776241056074</v>
      </c>
      <c r="M274" s="32">
        <f t="shared" si="35"/>
        <v>71.771776241056074</v>
      </c>
    </row>
    <row r="275" spans="2:13" x14ac:dyDescent="0.25">
      <c r="B275" s="31">
        <v>135</v>
      </c>
      <c r="C275" s="32">
        <f t="shared" si="33"/>
        <v>2.700000000000002</v>
      </c>
      <c r="D275" s="35">
        <f t="shared" si="34"/>
        <v>80</v>
      </c>
      <c r="E275" s="32">
        <f t="shared" si="36"/>
        <v>78.507481416297196</v>
      </c>
      <c r="F275" s="32">
        <f t="shared" si="36"/>
        <v>77.065631320803035</v>
      </c>
      <c r="G275" s="32">
        <f t="shared" si="36"/>
        <v>75.72400125613359</v>
      </c>
      <c r="H275" s="32">
        <f t="shared" si="36"/>
        <v>74.527595055232155</v>
      </c>
      <c r="I275" s="32">
        <f t="shared" si="36"/>
        <v>73.517979022902935</v>
      </c>
      <c r="J275" s="32">
        <f t="shared" si="36"/>
        <v>72.728681240216744</v>
      </c>
      <c r="K275" s="32">
        <f t="shared" si="36"/>
        <v>72.187347303594564</v>
      </c>
      <c r="L275" s="32">
        <f t="shared" si="28"/>
        <v>71.911834443125571</v>
      </c>
      <c r="M275" s="32">
        <f t="shared" si="35"/>
        <v>71.911834443125571</v>
      </c>
    </row>
    <row r="276" spans="2:13" x14ac:dyDescent="0.25">
      <c r="B276" s="31">
        <v>136</v>
      </c>
      <c r="C276" s="32">
        <f t="shared" si="33"/>
        <v>2.720000000000002</v>
      </c>
      <c r="D276" s="35">
        <f t="shared" si="34"/>
        <v>80</v>
      </c>
      <c r="E276" s="32">
        <f t="shared" si="36"/>
        <v>78.532815660401525</v>
      </c>
      <c r="F276" s="32">
        <f t="shared" si="36"/>
        <v>77.115741336215393</v>
      </c>
      <c r="G276" s="32">
        <f t="shared" si="36"/>
        <v>75.796613188017602</v>
      </c>
      <c r="H276" s="32">
        <f t="shared" si="36"/>
        <v>74.620990139518256</v>
      </c>
      <c r="I276" s="32">
        <f t="shared" si="36"/>
        <v>73.628138147724457</v>
      </c>
      <c r="J276" s="32">
        <f t="shared" si="36"/>
        <v>72.852663163248749</v>
      </c>
      <c r="K276" s="32">
        <f t="shared" si="36"/>
        <v>72.32025784167115</v>
      </c>
      <c r="L276" s="32">
        <f t="shared" si="28"/>
        <v>72.049590873360074</v>
      </c>
      <c r="M276" s="32">
        <f t="shared" si="35"/>
        <v>72.049590873360074</v>
      </c>
    </row>
    <row r="277" spans="2:13" x14ac:dyDescent="0.25">
      <c r="B277" s="31">
        <v>137</v>
      </c>
      <c r="C277" s="32">
        <f t="shared" si="33"/>
        <v>2.740000000000002</v>
      </c>
      <c r="D277" s="35">
        <f t="shared" si="34"/>
        <v>80</v>
      </c>
      <c r="E277" s="32">
        <f t="shared" si="36"/>
        <v>78.557870668107697</v>
      </c>
      <c r="F277" s="32">
        <f t="shared" si="36"/>
        <v>77.164714424209564</v>
      </c>
      <c r="G277" s="32">
        <f t="shared" si="36"/>
        <v>75.868365737866824</v>
      </c>
      <c r="H277" s="32">
        <f t="shared" si="36"/>
        <v>74.712375667871029</v>
      </c>
      <c r="I277" s="32">
        <f t="shared" si="36"/>
        <v>73.736826651383495</v>
      </c>
      <c r="J277" s="32">
        <f t="shared" si="36"/>
        <v>72.974197994697803</v>
      </c>
      <c r="K277" s="32">
        <f t="shared" si="36"/>
        <v>72.451127018304419</v>
      </c>
      <c r="L277" s="32">
        <f t="shared" si="28"/>
        <v>72.184924357515612</v>
      </c>
      <c r="M277" s="32">
        <f t="shared" si="35"/>
        <v>72.184924357515612</v>
      </c>
    </row>
    <row r="278" spans="2:13" x14ac:dyDescent="0.25">
      <c r="B278" s="31">
        <v>138</v>
      </c>
      <c r="C278" s="32">
        <f t="shared" si="33"/>
        <v>2.760000000000002</v>
      </c>
      <c r="D278" s="35">
        <f t="shared" si="34"/>
        <v>80</v>
      </c>
      <c r="E278" s="32">
        <f t="shared" si="36"/>
        <v>78.582357212104782</v>
      </c>
      <c r="F278" s="32">
        <f t="shared" si="36"/>
        <v>77.21311820298726</v>
      </c>
      <c r="G278" s="32">
        <f t="shared" si="36"/>
        <v>75.938545046040304</v>
      </c>
      <c r="H278" s="32">
        <f t="shared" si="36"/>
        <v>74.802596194625153</v>
      </c>
      <c r="I278" s="32">
        <f t="shared" si="36"/>
        <v>73.843286831284416</v>
      </c>
      <c r="J278" s="32">
        <f t="shared" si="36"/>
        <v>73.093976834843957</v>
      </c>
      <c r="K278" s="32">
        <f t="shared" si="36"/>
        <v>72.579561176106708</v>
      </c>
      <c r="L278" s="32">
        <f t="shared" si="28"/>
        <v>72.318025687910023</v>
      </c>
      <c r="M278" s="32">
        <f t="shared" si="35"/>
        <v>72.318025687910023</v>
      </c>
    </row>
    <row r="279" spans="2:13" x14ac:dyDescent="0.25">
      <c r="B279" s="31">
        <v>139</v>
      </c>
      <c r="C279" s="32">
        <f t="shared" si="33"/>
        <v>2.780000000000002</v>
      </c>
      <c r="D279" s="35">
        <f t="shared" si="34"/>
        <v>80</v>
      </c>
      <c r="E279" s="32">
        <f t="shared" si="36"/>
        <v>78.60655910149363</v>
      </c>
      <c r="F279" s="32">
        <f t="shared" si="36"/>
        <v>77.26045112907255</v>
      </c>
      <c r="G279" s="32">
        <f t="shared" si="36"/>
        <v>76.007857198806207</v>
      </c>
      <c r="H279" s="32">
        <f t="shared" si="36"/>
        <v>74.89091593866236</v>
      </c>
      <c r="I279" s="32">
        <f t="shared" si="36"/>
        <v>73.948286514734548</v>
      </c>
      <c r="J279" s="32">
        <f t="shared" si="36"/>
        <v>73.211424003695555</v>
      </c>
      <c r="K279" s="32">
        <f t="shared" si="36"/>
        <v>72.706001261376997</v>
      </c>
      <c r="L279" s="32">
        <f t="shared" si="28"/>
        <v>72.448793432008358</v>
      </c>
      <c r="M279" s="32">
        <f t="shared" si="35"/>
        <v>72.448793432008358</v>
      </c>
    </row>
    <row r="280" spans="2:13" x14ac:dyDescent="0.25">
      <c r="B280" s="31">
        <v>140</v>
      </c>
      <c r="C280" s="32">
        <f t="shared" si="33"/>
        <v>2.800000000000002</v>
      </c>
      <c r="D280" s="35">
        <f t="shared" si="34"/>
        <v>80</v>
      </c>
      <c r="E280" s="32">
        <f t="shared" si="36"/>
        <v>78.630225564536275</v>
      </c>
      <c r="F280" s="32">
        <f t="shared" si="36"/>
        <v>77.307208150149918</v>
      </c>
      <c r="G280" s="32">
        <f t="shared" si="36"/>
        <v>76.075683533867448</v>
      </c>
      <c r="H280" s="32">
        <f t="shared" si="36"/>
        <v>74.978071856770384</v>
      </c>
      <c r="I280" s="32">
        <f t="shared" si="36"/>
        <v>74.05116997117895</v>
      </c>
      <c r="J280" s="32">
        <f t="shared" si="36"/>
        <v>73.327143888055772</v>
      </c>
      <c r="K280" s="32">
        <f t="shared" si="36"/>
        <v>72.830108717851957</v>
      </c>
      <c r="L280" s="32">
        <f t="shared" si="28"/>
        <v>72.577397346692678</v>
      </c>
      <c r="M280" s="32">
        <f t="shared" si="35"/>
        <v>72.577397346692678</v>
      </c>
    </row>
    <row r="281" spans="2:13" x14ac:dyDescent="0.25">
      <c r="B281" s="31">
        <v>141</v>
      </c>
      <c r="C281" s="32">
        <f t="shared" si="33"/>
        <v>2.8200000000000021</v>
      </c>
      <c r="D281" s="35">
        <f t="shared" si="34"/>
        <v>80</v>
      </c>
      <c r="E281" s="32">
        <f t="shared" si="36"/>
        <v>78.653604075074952</v>
      </c>
      <c r="F281" s="32">
        <f t="shared" si="36"/>
        <v>77.352954549201854</v>
      </c>
      <c r="G281" s="32">
        <f t="shared" si="36"/>
        <v>76.142640003460144</v>
      </c>
      <c r="H281" s="32">
        <f t="shared" si="36"/>
        <v>75.063426752523199</v>
      </c>
      <c r="I281" s="32">
        <f t="shared" si="36"/>
        <v>74.152607872413085</v>
      </c>
      <c r="J281" s="32">
        <f t="shared" si="36"/>
        <v>73.440639344515461</v>
      </c>
      <c r="K281" s="32">
        <f t="shared" si="36"/>
        <v>72.952270617374225</v>
      </c>
      <c r="L281" s="32">
        <f t="shared" si="28"/>
        <v>72.703753032272317</v>
      </c>
      <c r="M281" s="32">
        <f t="shared" si="35"/>
        <v>72.703753032272317</v>
      </c>
    </row>
    <row r="282" spans="2:13" x14ac:dyDescent="0.25">
      <c r="B282" s="31">
        <v>142</v>
      </c>
      <c r="C282" s="32">
        <f t="shared" si="33"/>
        <v>2.8400000000000021</v>
      </c>
      <c r="D282" s="35">
        <f t="shared" si="34"/>
        <v>80</v>
      </c>
      <c r="E282" s="32">
        <f t="shared" si="36"/>
        <v>78.676477274600927</v>
      </c>
      <c r="F282" s="32">
        <f t="shared" si="36"/>
        <v>77.398122039267548</v>
      </c>
      <c r="G282" s="32">
        <f t="shared" si="36"/>
        <v>76.20819065086252</v>
      </c>
      <c r="H282" s="32">
        <f t="shared" si="36"/>
        <v>75.147623937936615</v>
      </c>
      <c r="I282" s="32">
        <f t="shared" si="36"/>
        <v>74.252033048519337</v>
      </c>
      <c r="J282" s="32">
        <f t="shared" si="36"/>
        <v>73.552439244893662</v>
      </c>
      <c r="K282" s="32">
        <f t="shared" si="36"/>
        <v>73.072196188393889</v>
      </c>
      <c r="L282" s="32">
        <f t="shared" si="28"/>
        <v>72.828011824823278</v>
      </c>
      <c r="M282" s="32">
        <f t="shared" si="35"/>
        <v>72.828011824823278</v>
      </c>
    </row>
    <row r="283" spans="2:13" x14ac:dyDescent="0.25">
      <c r="B283" s="31">
        <v>143</v>
      </c>
      <c r="C283" s="32">
        <f t="shared" si="33"/>
        <v>2.8600000000000021</v>
      </c>
      <c r="D283" s="35">
        <f t="shared" si="34"/>
        <v>80</v>
      </c>
      <c r="E283" s="32">
        <f t="shared" si="36"/>
        <v>78.699061019633774</v>
      </c>
      <c r="F283" s="32">
        <f t="shared" si="36"/>
        <v>77.442333962731723</v>
      </c>
      <c r="G283" s="32">
        <f t="shared" si="36"/>
        <v>76.272872988602074</v>
      </c>
      <c r="H283" s="32">
        <f t="shared" si="36"/>
        <v>75.230111849690928</v>
      </c>
      <c r="I283" s="32">
        <f t="shared" si="36"/>
        <v>74.350031591415132</v>
      </c>
      <c r="J283" s="32">
        <f t="shared" si="36"/>
        <v>73.662114618456613</v>
      </c>
      <c r="K283" s="32">
        <f t="shared" si="36"/>
        <v>73.19022553485847</v>
      </c>
      <c r="L283" s="32">
        <f t="shared" si="28"/>
        <v>72.950104006608584</v>
      </c>
      <c r="M283" s="32">
        <f t="shared" si="35"/>
        <v>72.950104006608584</v>
      </c>
    </row>
    <row r="284" spans="2:13" x14ac:dyDescent="0.25">
      <c r="B284" s="31">
        <v>144</v>
      </c>
      <c r="C284" s="32">
        <f t="shared" si="33"/>
        <v>2.8800000000000021</v>
      </c>
      <c r="D284" s="35">
        <f t="shared" si="34"/>
        <v>80</v>
      </c>
      <c r="E284" s="32">
        <f t="shared" si="36"/>
        <v>78.721166981365855</v>
      </c>
      <c r="F284" s="32">
        <f t="shared" si="36"/>
        <v>77.485967004117924</v>
      </c>
      <c r="G284" s="32">
        <f t="shared" si="36"/>
        <v>76.336222906211333</v>
      </c>
      <c r="H284" s="32">
        <f t="shared" si="36"/>
        <v>75.311452290008603</v>
      </c>
      <c r="I284" s="32">
        <f t="shared" si="36"/>
        <v>74.446113234073778</v>
      </c>
      <c r="J284" s="32">
        <f t="shared" si="36"/>
        <v>73.770128563136808</v>
      </c>
      <c r="K284" s="32">
        <f t="shared" si="36"/>
        <v>73.306109312532598</v>
      </c>
      <c r="L284" s="32">
        <f t="shared" si="28"/>
        <v>73.070164770733527</v>
      </c>
      <c r="M284" s="32">
        <f t="shared" si="35"/>
        <v>73.070164770733527</v>
      </c>
    </row>
    <row r="285" spans="2:13" x14ac:dyDescent="0.25">
      <c r="B285" s="31">
        <v>145</v>
      </c>
      <c r="C285" s="32">
        <f t="shared" si="33"/>
        <v>2.9000000000000021</v>
      </c>
      <c r="D285" s="35">
        <f t="shared" si="34"/>
        <v>80</v>
      </c>
      <c r="E285" s="32">
        <f t="shared" si="36"/>
        <v>78.742983502058962</v>
      </c>
      <c r="F285" s="32">
        <f t="shared" si="36"/>
        <v>77.528694943788594</v>
      </c>
      <c r="G285" s="32">
        <f t="shared" si="36"/>
        <v>76.398709647063271</v>
      </c>
      <c r="H285" s="32">
        <f t="shared" si="36"/>
        <v>75.391168070142555</v>
      </c>
      <c r="I285" s="32">
        <f t="shared" si="36"/>
        <v>74.540790426572698</v>
      </c>
      <c r="J285" s="32">
        <f t="shared" si="36"/>
        <v>73.876111273303195</v>
      </c>
      <c r="K285" s="32">
        <f t="shared" si="36"/>
        <v>73.420146666935167</v>
      </c>
      <c r="L285" s="32">
        <f t="shared" si="28"/>
        <v>73.18813704163307</v>
      </c>
      <c r="M285" s="32">
        <f t="shared" si="35"/>
        <v>73.18813704163307</v>
      </c>
    </row>
    <row r="286" spans="2:13" x14ac:dyDescent="0.25">
      <c r="B286" s="31">
        <v>146</v>
      </c>
      <c r="C286" s="32">
        <f t="shared" si="33"/>
        <v>2.9200000000000021</v>
      </c>
      <c r="D286" s="35">
        <f t="shared" si="34"/>
        <v>80</v>
      </c>
      <c r="E286" s="32">
        <f t="shared" ref="E286:L301" si="37">(D285+F285)/2</f>
        <v>78.764347471894297</v>
      </c>
      <c r="F286" s="32">
        <f t="shared" si="37"/>
        <v>77.570846574561116</v>
      </c>
      <c r="G286" s="32">
        <f t="shared" si="37"/>
        <v>76.459931506965574</v>
      </c>
      <c r="H286" s="32">
        <f t="shared" si="37"/>
        <v>75.469750036817985</v>
      </c>
      <c r="I286" s="32">
        <f t="shared" si="37"/>
        <v>74.633639671722875</v>
      </c>
      <c r="J286" s="32">
        <f t="shared" si="37"/>
        <v>73.98046854675394</v>
      </c>
      <c r="K286" s="32">
        <f t="shared" si="37"/>
        <v>73.532124157468132</v>
      </c>
      <c r="L286" s="32">
        <f t="shared" si="28"/>
        <v>73.304141854284126</v>
      </c>
      <c r="M286" s="32">
        <f t="shared" si="35"/>
        <v>73.304141854284126</v>
      </c>
    </row>
    <row r="287" spans="2:13" x14ac:dyDescent="0.25">
      <c r="B287" s="31">
        <v>147</v>
      </c>
      <c r="C287" s="32">
        <f t="shared" si="33"/>
        <v>2.9400000000000022</v>
      </c>
      <c r="D287" s="35">
        <f t="shared" si="34"/>
        <v>80</v>
      </c>
      <c r="E287" s="32">
        <f t="shared" si="37"/>
        <v>78.785423287280565</v>
      </c>
      <c r="F287" s="32">
        <f t="shared" si="37"/>
        <v>77.612139489429936</v>
      </c>
      <c r="G287" s="32">
        <f t="shared" si="37"/>
        <v>76.52029830568955</v>
      </c>
      <c r="H287" s="32">
        <f t="shared" si="37"/>
        <v>75.546785589344225</v>
      </c>
      <c r="I287" s="32">
        <f t="shared" si="37"/>
        <v>74.725109291785969</v>
      </c>
      <c r="J287" s="32">
        <f t="shared" si="37"/>
        <v>74.082881914595504</v>
      </c>
      <c r="K287" s="32">
        <f t="shared" si="37"/>
        <v>73.642305200519033</v>
      </c>
      <c r="L287" s="32">
        <f t="shared" si="37"/>
        <v>73.418133005876129</v>
      </c>
      <c r="M287" s="32">
        <f t="shared" si="35"/>
        <v>73.418133005876129</v>
      </c>
    </row>
    <row r="288" spans="2:13" x14ac:dyDescent="0.25">
      <c r="B288" s="31">
        <v>148</v>
      </c>
      <c r="C288" s="32">
        <f t="shared" si="33"/>
        <v>2.9600000000000022</v>
      </c>
      <c r="D288" s="35">
        <f t="shared" si="34"/>
        <v>80</v>
      </c>
      <c r="E288" s="32">
        <f t="shared" si="37"/>
        <v>78.806069744714961</v>
      </c>
      <c r="F288" s="32">
        <f t="shared" si="37"/>
        <v>77.652860796485058</v>
      </c>
      <c r="G288" s="32">
        <f t="shared" si="37"/>
        <v>76.57946253938708</v>
      </c>
      <c r="H288" s="32">
        <f t="shared" si="37"/>
        <v>75.62270379873776</v>
      </c>
      <c r="I288" s="32">
        <f t="shared" si="37"/>
        <v>74.814833751969871</v>
      </c>
      <c r="J288" s="32">
        <f t="shared" si="37"/>
        <v>74.183707246152494</v>
      </c>
      <c r="K288" s="32">
        <f t="shared" si="37"/>
        <v>73.750507460235809</v>
      </c>
      <c r="L288" s="32">
        <f t="shared" si="37"/>
        <v>73.530219103197581</v>
      </c>
      <c r="M288" s="32">
        <f t="shared" si="35"/>
        <v>73.530219103197581</v>
      </c>
    </row>
    <row r="289" spans="2:13" x14ac:dyDescent="0.25">
      <c r="B289" s="31">
        <v>149</v>
      </c>
      <c r="C289" s="32">
        <f t="shared" si="33"/>
        <v>2.9800000000000022</v>
      </c>
      <c r="D289" s="35">
        <f t="shared" si="34"/>
        <v>80</v>
      </c>
      <c r="E289" s="32">
        <f t="shared" si="37"/>
        <v>78.826430398242536</v>
      </c>
      <c r="F289" s="32">
        <f t="shared" si="37"/>
        <v>77.692766142051028</v>
      </c>
      <c r="G289" s="32">
        <f t="shared" si="37"/>
        <v>76.637782297611409</v>
      </c>
      <c r="H289" s="32">
        <f t="shared" si="37"/>
        <v>75.697148145678483</v>
      </c>
      <c r="I289" s="32">
        <f t="shared" si="37"/>
        <v>74.90320552244512</v>
      </c>
      <c r="J289" s="32">
        <f t="shared" si="37"/>
        <v>74.28267060610284</v>
      </c>
      <c r="K289" s="32">
        <f t="shared" si="37"/>
        <v>73.85696317467503</v>
      </c>
      <c r="L289" s="32">
        <f t="shared" si="37"/>
        <v>73.640363281716702</v>
      </c>
      <c r="M289" s="32">
        <f t="shared" si="35"/>
        <v>73.640363281716702</v>
      </c>
    </row>
    <row r="290" spans="2:13" x14ac:dyDescent="0.25">
      <c r="B290" s="31">
        <v>150</v>
      </c>
      <c r="C290" s="32">
        <f t="shared" si="33"/>
        <v>3.0000000000000022</v>
      </c>
      <c r="D290" s="35">
        <f t="shared" si="34"/>
        <v>80</v>
      </c>
      <c r="E290" s="32">
        <f t="shared" si="37"/>
        <v>78.846383071025514</v>
      </c>
      <c r="F290" s="32">
        <f t="shared" si="37"/>
        <v>77.732106347926972</v>
      </c>
      <c r="G290" s="32">
        <f t="shared" si="37"/>
        <v>76.694957143864755</v>
      </c>
      <c r="H290" s="32">
        <f t="shared" si="37"/>
        <v>75.770493910028264</v>
      </c>
      <c r="I290" s="32">
        <f t="shared" si="37"/>
        <v>74.989909375890662</v>
      </c>
      <c r="J290" s="32">
        <f t="shared" si="37"/>
        <v>74.380084348560075</v>
      </c>
      <c r="K290" s="32">
        <f t="shared" si="37"/>
        <v>73.961516943909771</v>
      </c>
      <c r="L290" s="32">
        <f t="shared" si="37"/>
        <v>73.748663228195866</v>
      </c>
      <c r="M290" s="32">
        <f t="shared" si="35"/>
        <v>73.748663228195866</v>
      </c>
    </row>
    <row r="291" spans="2:13" x14ac:dyDescent="0.25">
      <c r="B291" s="31">
        <v>151</v>
      </c>
      <c r="C291" s="32">
        <f t="shared" si="33"/>
        <v>3.0200000000000022</v>
      </c>
      <c r="D291" s="35">
        <f t="shared" si="34"/>
        <v>80</v>
      </c>
      <c r="E291" s="32">
        <f t="shared" si="37"/>
        <v>78.866053173963479</v>
      </c>
      <c r="F291" s="32">
        <f t="shared" si="37"/>
        <v>77.770670107445142</v>
      </c>
      <c r="G291" s="32">
        <f t="shared" si="37"/>
        <v>76.751300128977618</v>
      </c>
      <c r="H291" s="32">
        <f t="shared" si="37"/>
        <v>75.842433259877708</v>
      </c>
      <c r="I291" s="32">
        <f t="shared" si="37"/>
        <v>75.075289129294163</v>
      </c>
      <c r="J291" s="32">
        <f t="shared" si="37"/>
        <v>74.475713159900209</v>
      </c>
      <c r="K291" s="32">
        <f t="shared" si="37"/>
        <v>74.064373788377964</v>
      </c>
      <c r="L291" s="32">
        <f t="shared" si="37"/>
        <v>73.855090086052826</v>
      </c>
      <c r="M291" s="32">
        <f t="shared" si="35"/>
        <v>73.855090086052826</v>
      </c>
    </row>
    <row r="292" spans="2:13" x14ac:dyDescent="0.25">
      <c r="B292" s="31">
        <v>152</v>
      </c>
      <c r="C292" s="32">
        <f t="shared" si="33"/>
        <v>3.0400000000000023</v>
      </c>
      <c r="D292" s="35">
        <f t="shared" si="34"/>
        <v>80</v>
      </c>
      <c r="E292" s="32">
        <f t="shared" si="37"/>
        <v>78.885335053722571</v>
      </c>
      <c r="F292" s="32">
        <f t="shared" si="37"/>
        <v>77.808676651470549</v>
      </c>
      <c r="G292" s="32">
        <f t="shared" si="37"/>
        <v>76.806551683661425</v>
      </c>
      <c r="H292" s="32">
        <f t="shared" si="37"/>
        <v>75.913294629135891</v>
      </c>
      <c r="I292" s="32">
        <f t="shared" si="37"/>
        <v>75.159073209888959</v>
      </c>
      <c r="J292" s="32">
        <f t="shared" si="37"/>
        <v>74.569831458836063</v>
      </c>
      <c r="K292" s="32">
        <f t="shared" si="37"/>
        <v>74.165401622976518</v>
      </c>
      <c r="L292" s="32">
        <f t="shared" si="37"/>
        <v>73.959731937215395</v>
      </c>
      <c r="M292" s="32">
        <f t="shared" si="35"/>
        <v>73.959731937215395</v>
      </c>
    </row>
    <row r="293" spans="2:13" x14ac:dyDescent="0.25">
      <c r="B293" s="31">
        <v>153</v>
      </c>
      <c r="C293" s="32">
        <f t="shared" si="33"/>
        <v>3.0600000000000023</v>
      </c>
      <c r="D293" s="35">
        <f t="shared" si="34"/>
        <v>80</v>
      </c>
      <c r="E293" s="32">
        <f t="shared" si="37"/>
        <v>78.904338325735267</v>
      </c>
      <c r="F293" s="32">
        <f t="shared" si="37"/>
        <v>77.845943368691991</v>
      </c>
      <c r="G293" s="32">
        <f t="shared" si="37"/>
        <v>76.860985640303227</v>
      </c>
      <c r="H293" s="32">
        <f t="shared" si="37"/>
        <v>75.982812446775199</v>
      </c>
      <c r="I293" s="32">
        <f t="shared" si="37"/>
        <v>75.241563043985977</v>
      </c>
      <c r="J293" s="32">
        <f t="shared" si="37"/>
        <v>74.662237416432731</v>
      </c>
      <c r="K293" s="32">
        <f t="shared" si="37"/>
        <v>74.264781698025729</v>
      </c>
      <c r="L293" s="32">
        <f t="shared" si="37"/>
        <v>74.062566780095949</v>
      </c>
      <c r="M293" s="32">
        <f t="shared" si="35"/>
        <v>74.062566780095949</v>
      </c>
    </row>
    <row r="294" spans="2:13" x14ac:dyDescent="0.25">
      <c r="B294" s="31">
        <v>154</v>
      </c>
      <c r="C294" s="32">
        <f t="shared" si="33"/>
        <v>3.0800000000000023</v>
      </c>
      <c r="D294" s="35">
        <f t="shared" si="34"/>
        <v>80</v>
      </c>
      <c r="E294" s="32">
        <f t="shared" si="37"/>
        <v>78.922971684345995</v>
      </c>
      <c r="F294" s="32">
        <f t="shared" si="37"/>
        <v>77.882661983019247</v>
      </c>
      <c r="G294" s="32">
        <f t="shared" si="37"/>
        <v>76.914377907733595</v>
      </c>
      <c r="H294" s="32">
        <f t="shared" si="37"/>
        <v>76.051274342144609</v>
      </c>
      <c r="I294" s="32">
        <f t="shared" si="37"/>
        <v>75.322524931603965</v>
      </c>
      <c r="J294" s="32">
        <f t="shared" si="37"/>
        <v>74.75317237100586</v>
      </c>
      <c r="K294" s="32">
        <f t="shared" si="37"/>
        <v>74.36240209826434</v>
      </c>
      <c r="L294" s="32">
        <f t="shared" si="37"/>
        <v>74.163674239060839</v>
      </c>
      <c r="M294" s="32">
        <f t="shared" si="35"/>
        <v>74.163674239060839</v>
      </c>
    </row>
    <row r="295" spans="2:13" x14ac:dyDescent="0.25">
      <c r="B295" s="31">
        <v>155</v>
      </c>
      <c r="C295" s="32">
        <f t="shared" si="33"/>
        <v>3.1000000000000023</v>
      </c>
      <c r="D295" s="35">
        <f t="shared" si="34"/>
        <v>80</v>
      </c>
      <c r="E295" s="32">
        <f t="shared" si="37"/>
        <v>78.941330991509631</v>
      </c>
      <c r="F295" s="32">
        <f t="shared" si="37"/>
        <v>77.918674796039795</v>
      </c>
      <c r="G295" s="32">
        <f t="shared" si="37"/>
        <v>76.966968162581935</v>
      </c>
      <c r="H295" s="32">
        <f t="shared" si="37"/>
        <v>76.118451419668787</v>
      </c>
      <c r="I295" s="32">
        <f t="shared" si="37"/>
        <v>75.402223356575234</v>
      </c>
      <c r="J295" s="32">
        <f t="shared" si="37"/>
        <v>74.842463514934153</v>
      </c>
      <c r="K295" s="32">
        <f t="shared" si="37"/>
        <v>74.458423305033349</v>
      </c>
      <c r="L295" s="32">
        <f t="shared" si="37"/>
        <v>74.26303816866259</v>
      </c>
      <c r="M295" s="32">
        <f t="shared" si="35"/>
        <v>74.26303816866259</v>
      </c>
    </row>
    <row r="296" spans="2:13" x14ac:dyDescent="0.25">
      <c r="B296" s="31">
        <v>156</v>
      </c>
      <c r="C296" s="32">
        <f t="shared" si="33"/>
        <v>3.1200000000000023</v>
      </c>
      <c r="D296" s="35">
        <f t="shared" si="34"/>
        <v>80</v>
      </c>
      <c r="E296" s="32">
        <f t="shared" si="37"/>
        <v>78.959337398019898</v>
      </c>
      <c r="F296" s="32">
        <f t="shared" si="37"/>
        <v>77.954149577045783</v>
      </c>
      <c r="G296" s="32">
        <f t="shared" si="37"/>
        <v>77.018563107854291</v>
      </c>
      <c r="H296" s="32">
        <f t="shared" si="37"/>
        <v>76.184595759578585</v>
      </c>
      <c r="I296" s="32">
        <f t="shared" si="37"/>
        <v>75.480457467301477</v>
      </c>
      <c r="J296" s="32">
        <f t="shared" si="37"/>
        <v>74.930323330804299</v>
      </c>
      <c r="K296" s="32">
        <f t="shared" si="37"/>
        <v>74.552750841798371</v>
      </c>
      <c r="L296" s="32">
        <f t="shared" si="37"/>
        <v>74.36073073684797</v>
      </c>
      <c r="M296" s="32">
        <f t="shared" si="35"/>
        <v>74.36073073684797</v>
      </c>
    </row>
    <row r="297" spans="2:13" x14ac:dyDescent="0.25">
      <c r="B297" s="31">
        <v>157</v>
      </c>
      <c r="C297" s="32">
        <f t="shared" si="33"/>
        <v>3.1400000000000023</v>
      </c>
      <c r="D297" s="35">
        <f t="shared" si="34"/>
        <v>80</v>
      </c>
      <c r="E297" s="32">
        <f t="shared" si="37"/>
        <v>78.977074788522884</v>
      </c>
      <c r="F297" s="32">
        <f t="shared" si="37"/>
        <v>77.988950252937087</v>
      </c>
      <c r="G297" s="32">
        <f t="shared" si="37"/>
        <v>77.069372668312184</v>
      </c>
      <c r="H297" s="32">
        <f t="shared" si="37"/>
        <v>76.249510287577891</v>
      </c>
      <c r="I297" s="32">
        <f t="shared" si="37"/>
        <v>75.557459545191449</v>
      </c>
      <c r="J297" s="32">
        <f t="shared" si="37"/>
        <v>75.016604154549924</v>
      </c>
      <c r="K297" s="32">
        <f t="shared" si="37"/>
        <v>74.645527033826141</v>
      </c>
      <c r="L297" s="32">
        <f t="shared" si="37"/>
        <v>74.456740789323163</v>
      </c>
      <c r="M297" s="32">
        <f t="shared" si="35"/>
        <v>74.456740789323163</v>
      </c>
    </row>
    <row r="298" spans="2:13" x14ac:dyDescent="0.25">
      <c r="B298" s="31">
        <v>158</v>
      </c>
      <c r="C298" s="32">
        <f t="shared" si="33"/>
        <v>3.1600000000000024</v>
      </c>
      <c r="D298" s="35">
        <f t="shared" si="34"/>
        <v>80</v>
      </c>
      <c r="E298" s="32">
        <f t="shared" si="37"/>
        <v>78.994475126468544</v>
      </c>
      <c r="F298" s="32">
        <f t="shared" si="37"/>
        <v>78.023223728417534</v>
      </c>
      <c r="G298" s="32">
        <f t="shared" si="37"/>
        <v>77.119230270257489</v>
      </c>
      <c r="H298" s="32">
        <f t="shared" si="37"/>
        <v>76.313416106751816</v>
      </c>
      <c r="I298" s="32">
        <f t="shared" si="37"/>
        <v>75.633057221063908</v>
      </c>
      <c r="J298" s="32">
        <f t="shared" si="37"/>
        <v>75.101493289508795</v>
      </c>
      <c r="K298" s="32">
        <f t="shared" si="37"/>
        <v>74.736672471936544</v>
      </c>
      <c r="L298" s="32">
        <f t="shared" si="37"/>
        <v>74.551133911574652</v>
      </c>
      <c r="M298" s="32">
        <f t="shared" si="35"/>
        <v>74.551133911574652</v>
      </c>
    </row>
    <row r="299" spans="2:13" x14ac:dyDescent="0.25">
      <c r="B299" s="31">
        <v>159</v>
      </c>
      <c r="C299" s="32">
        <f t="shared" si="33"/>
        <v>3.1800000000000024</v>
      </c>
      <c r="D299" s="35">
        <f t="shared" si="34"/>
        <v>80</v>
      </c>
      <c r="E299" s="32">
        <f t="shared" si="37"/>
        <v>79.01161186420876</v>
      </c>
      <c r="F299" s="32">
        <f t="shared" si="37"/>
        <v>78.056852698363016</v>
      </c>
      <c r="G299" s="32">
        <f t="shared" si="37"/>
        <v>77.168319917584682</v>
      </c>
      <c r="H299" s="32">
        <f t="shared" si="37"/>
        <v>76.376143745660698</v>
      </c>
      <c r="I299" s="32">
        <f t="shared" si="37"/>
        <v>75.707454698130306</v>
      </c>
      <c r="J299" s="32">
        <f t="shared" si="37"/>
        <v>75.184864846500233</v>
      </c>
      <c r="K299" s="32">
        <f t="shared" si="37"/>
        <v>74.826313600541724</v>
      </c>
      <c r="L299" s="32">
        <f t="shared" si="37"/>
        <v>74.643903191755598</v>
      </c>
      <c r="M299" s="32">
        <f t="shared" si="35"/>
        <v>74.643903191755598</v>
      </c>
    </row>
    <row r="300" spans="2:13" x14ac:dyDescent="0.25">
      <c r="B300" s="31">
        <v>160</v>
      </c>
      <c r="C300" s="32">
        <f t="shared" si="33"/>
        <v>3.2000000000000024</v>
      </c>
      <c r="D300" s="35">
        <f t="shared" si="34"/>
        <v>80</v>
      </c>
      <c r="E300" s="32">
        <f t="shared" si="37"/>
        <v>79.028426349181501</v>
      </c>
      <c r="F300" s="32">
        <f t="shared" si="37"/>
        <v>78.089965890896721</v>
      </c>
      <c r="G300" s="32">
        <f t="shared" si="37"/>
        <v>77.216498222011865</v>
      </c>
      <c r="H300" s="32">
        <f t="shared" si="37"/>
        <v>76.437887307857494</v>
      </c>
      <c r="I300" s="32">
        <f t="shared" si="37"/>
        <v>75.780504296080466</v>
      </c>
      <c r="J300" s="32">
        <f t="shared" si="37"/>
        <v>75.266884149336022</v>
      </c>
      <c r="K300" s="32">
        <f t="shared" si="37"/>
        <v>74.914384019127908</v>
      </c>
      <c r="L300" s="32">
        <f t="shared" si="37"/>
        <v>74.735108396148661</v>
      </c>
      <c r="M300" s="32">
        <f t="shared" si="35"/>
        <v>74.735108396148661</v>
      </c>
    </row>
    <row r="301" spans="2:13" x14ac:dyDescent="0.25">
      <c r="B301" s="31">
        <v>161</v>
      </c>
      <c r="C301" s="32">
        <f t="shared" si="33"/>
        <v>3.2200000000000024</v>
      </c>
      <c r="D301" s="35">
        <f t="shared" si="34"/>
        <v>80</v>
      </c>
      <c r="E301" s="32">
        <f t="shared" si="37"/>
        <v>79.044982945448368</v>
      </c>
      <c r="F301" s="32">
        <f t="shared" si="37"/>
        <v>78.122462285596683</v>
      </c>
      <c r="G301" s="32">
        <f t="shared" si="37"/>
        <v>77.263926599377101</v>
      </c>
      <c r="H301" s="32">
        <f t="shared" si="37"/>
        <v>76.498501259046165</v>
      </c>
      <c r="I301" s="32">
        <f t="shared" si="37"/>
        <v>75.852385728596758</v>
      </c>
      <c r="J301" s="32">
        <f t="shared" si="37"/>
        <v>75.347444157604187</v>
      </c>
      <c r="K301" s="32">
        <f t="shared" si="37"/>
        <v>75.000996272742341</v>
      </c>
      <c r="L301" s="32">
        <f t="shared" si="37"/>
        <v>74.824746207638285</v>
      </c>
      <c r="M301" s="32">
        <f t="shared" si="35"/>
        <v>74.824746207638285</v>
      </c>
    </row>
    <row r="302" spans="2:13" x14ac:dyDescent="0.25">
      <c r="B302" s="31">
        <v>162</v>
      </c>
      <c r="C302" s="32">
        <f t="shared" si="33"/>
        <v>3.2400000000000024</v>
      </c>
      <c r="D302" s="35">
        <f t="shared" si="34"/>
        <v>80</v>
      </c>
      <c r="E302" s="32">
        <f t="shared" ref="E302:L317" si="38">(D301+F301)/2</f>
        <v>79.061231142798334</v>
      </c>
      <c r="F302" s="32">
        <f t="shared" si="38"/>
        <v>78.154454772412734</v>
      </c>
      <c r="G302" s="32">
        <f t="shared" si="38"/>
        <v>77.310481772321424</v>
      </c>
      <c r="H302" s="32">
        <f t="shared" si="38"/>
        <v>76.558156163986922</v>
      </c>
      <c r="I302" s="32">
        <f t="shared" si="38"/>
        <v>75.922972708325176</v>
      </c>
      <c r="J302" s="32">
        <f t="shared" si="38"/>
        <v>75.42669100066955</v>
      </c>
      <c r="K302" s="32">
        <f t="shared" si="38"/>
        <v>75.086095182621236</v>
      </c>
      <c r="L302" s="32">
        <f t="shared" si="38"/>
        <v>74.912871240190313</v>
      </c>
      <c r="M302" s="32">
        <f t="shared" si="35"/>
        <v>74.912871240190313</v>
      </c>
    </row>
    <row r="303" spans="2:13" x14ac:dyDescent="0.25">
      <c r="B303" s="31">
        <v>163</v>
      </c>
      <c r="C303" s="32">
        <f t="shared" si="33"/>
        <v>3.2600000000000025</v>
      </c>
      <c r="D303" s="35">
        <f t="shared" si="34"/>
        <v>80</v>
      </c>
      <c r="E303" s="32">
        <f t="shared" si="38"/>
        <v>79.077227386206374</v>
      </c>
      <c r="F303" s="32">
        <f t="shared" si="38"/>
        <v>78.185856457559879</v>
      </c>
      <c r="G303" s="32">
        <f t="shared" si="38"/>
        <v>77.356305468199821</v>
      </c>
      <c r="H303" s="32">
        <f t="shared" si="38"/>
        <v>76.6167272403233</v>
      </c>
      <c r="I303" s="32">
        <f t="shared" si="38"/>
        <v>75.992423582328229</v>
      </c>
      <c r="J303" s="32">
        <f t="shared" si="38"/>
        <v>75.504533945473213</v>
      </c>
      <c r="K303" s="32">
        <f t="shared" si="38"/>
        <v>75.169781120429931</v>
      </c>
      <c r="L303" s="32">
        <f t="shared" si="38"/>
        <v>74.999483211405774</v>
      </c>
      <c r="M303" s="32">
        <f t="shared" si="35"/>
        <v>74.999483211405774</v>
      </c>
    </row>
    <row r="304" spans="2:13" x14ac:dyDescent="0.25">
      <c r="B304" s="31">
        <v>164</v>
      </c>
      <c r="C304" s="32">
        <f t="shared" si="33"/>
        <v>3.2800000000000025</v>
      </c>
      <c r="D304" s="35">
        <f t="shared" si="34"/>
        <v>80</v>
      </c>
      <c r="E304" s="32">
        <f t="shared" si="38"/>
        <v>79.09292822877994</v>
      </c>
      <c r="F304" s="32">
        <f t="shared" si="38"/>
        <v>78.216766427203098</v>
      </c>
      <c r="G304" s="32">
        <f t="shared" si="38"/>
        <v>77.401291848941582</v>
      </c>
      <c r="H304" s="32">
        <f t="shared" si="38"/>
        <v>76.674364525264025</v>
      </c>
      <c r="I304" s="32">
        <f t="shared" si="38"/>
        <v>76.060630592898264</v>
      </c>
      <c r="J304" s="32">
        <f t="shared" si="38"/>
        <v>75.581102351379087</v>
      </c>
      <c r="K304" s="32">
        <f t="shared" si="38"/>
        <v>75.252008578439501</v>
      </c>
      <c r="L304" s="32">
        <f t="shared" si="38"/>
        <v>75.084632165917853</v>
      </c>
      <c r="M304" s="32">
        <f t="shared" si="35"/>
        <v>75.084632165917853</v>
      </c>
    </row>
    <row r="305" spans="2:13" x14ac:dyDescent="0.25">
      <c r="B305" s="31">
        <v>165</v>
      </c>
      <c r="C305" s="32">
        <f t="shared" si="33"/>
        <v>3.3000000000000025</v>
      </c>
      <c r="D305" s="35">
        <f t="shared" si="34"/>
        <v>80</v>
      </c>
      <c r="E305" s="32">
        <f t="shared" si="38"/>
        <v>79.108383213601542</v>
      </c>
      <c r="F305" s="32">
        <f t="shared" si="38"/>
        <v>78.247110038860768</v>
      </c>
      <c r="G305" s="32">
        <f t="shared" si="38"/>
        <v>77.445565476233554</v>
      </c>
      <c r="H305" s="32">
        <f t="shared" si="38"/>
        <v>76.730961220919923</v>
      </c>
      <c r="I305" s="32">
        <f t="shared" si="38"/>
        <v>76.127733438321556</v>
      </c>
      <c r="J305" s="32">
        <f t="shared" si="38"/>
        <v>75.656319585668882</v>
      </c>
      <c r="K305" s="32">
        <f t="shared" si="38"/>
        <v>75.332867258648463</v>
      </c>
      <c r="L305" s="32">
        <f t="shared" si="38"/>
        <v>75.16832037217867</v>
      </c>
      <c r="M305" s="32">
        <f t="shared" si="35"/>
        <v>75.16832037217867</v>
      </c>
    </row>
    <row r="306" spans="2:13" x14ac:dyDescent="0.25">
      <c r="B306" s="31">
        <v>166</v>
      </c>
      <c r="C306" s="32">
        <f t="shared" si="33"/>
        <v>3.3200000000000025</v>
      </c>
      <c r="D306" s="35">
        <f t="shared" si="34"/>
        <v>80</v>
      </c>
      <c r="E306" s="32">
        <f t="shared" si="38"/>
        <v>79.123555019430384</v>
      </c>
      <c r="F306" s="32">
        <f t="shared" si="38"/>
        <v>78.276974344917548</v>
      </c>
      <c r="G306" s="32">
        <f t="shared" si="38"/>
        <v>77.489035629890338</v>
      </c>
      <c r="H306" s="32">
        <f t="shared" si="38"/>
        <v>76.786649457277548</v>
      </c>
      <c r="I306" s="32">
        <f t="shared" si="38"/>
        <v>76.19364040329441</v>
      </c>
      <c r="J306" s="32">
        <f t="shared" si="38"/>
        <v>75.730300348485002</v>
      </c>
      <c r="K306" s="32">
        <f t="shared" si="38"/>
        <v>75.412319978923776</v>
      </c>
      <c r="L306" s="32">
        <f t="shared" si="38"/>
        <v>75.250593815413566</v>
      </c>
      <c r="M306" s="32">
        <f t="shared" si="35"/>
        <v>75.250593815413566</v>
      </c>
    </row>
    <row r="307" spans="2:13" x14ac:dyDescent="0.25">
      <c r="B307" s="31">
        <v>167</v>
      </c>
      <c r="C307" s="32">
        <f t="shared" si="33"/>
        <v>3.3400000000000025</v>
      </c>
      <c r="D307" s="35">
        <f t="shared" si="34"/>
        <v>80</v>
      </c>
      <c r="E307" s="32">
        <f t="shared" si="38"/>
        <v>79.138487172458781</v>
      </c>
      <c r="F307" s="32">
        <f t="shared" si="38"/>
        <v>78.306295324660368</v>
      </c>
      <c r="G307" s="32">
        <f t="shared" si="38"/>
        <v>77.531811901097541</v>
      </c>
      <c r="H307" s="32">
        <f t="shared" si="38"/>
        <v>76.841338016592374</v>
      </c>
      <c r="I307" s="32">
        <f t="shared" si="38"/>
        <v>76.258474902881275</v>
      </c>
      <c r="J307" s="32">
        <f t="shared" si="38"/>
        <v>75.8029801911091</v>
      </c>
      <c r="K307" s="32">
        <f t="shared" si="38"/>
        <v>75.490447081949284</v>
      </c>
      <c r="L307" s="32">
        <f t="shared" si="38"/>
        <v>75.331456897168664</v>
      </c>
      <c r="M307" s="32">
        <f t="shared" si="35"/>
        <v>75.331456897168664</v>
      </c>
    </row>
    <row r="308" spans="2:13" x14ac:dyDescent="0.25">
      <c r="B308" s="31">
        <v>168</v>
      </c>
      <c r="C308" s="32">
        <f t="shared" si="33"/>
        <v>3.3600000000000025</v>
      </c>
      <c r="D308" s="35">
        <f t="shared" si="34"/>
        <v>80</v>
      </c>
      <c r="E308" s="32">
        <f t="shared" si="38"/>
        <v>79.153147662330184</v>
      </c>
      <c r="F308" s="32">
        <f t="shared" si="38"/>
        <v>78.335149536778161</v>
      </c>
      <c r="G308" s="32">
        <f t="shared" si="38"/>
        <v>77.573816670626371</v>
      </c>
      <c r="H308" s="32">
        <f t="shared" si="38"/>
        <v>76.895143401989401</v>
      </c>
      <c r="I308" s="32">
        <f t="shared" si="38"/>
        <v>76.322159103850737</v>
      </c>
      <c r="J308" s="32">
        <f t="shared" si="38"/>
        <v>75.87446099241528</v>
      </c>
      <c r="K308" s="32">
        <f t="shared" si="38"/>
        <v>75.567218544138882</v>
      </c>
      <c r="L308" s="32">
        <f t="shared" si="38"/>
        <v>75.410951989558981</v>
      </c>
      <c r="M308" s="32">
        <f t="shared" si="35"/>
        <v>75.410951989558981</v>
      </c>
    </row>
    <row r="309" spans="2:13" x14ac:dyDescent="0.25">
      <c r="B309" s="31">
        <v>169</v>
      </c>
      <c r="C309" s="32">
        <f t="shared" si="33"/>
        <v>3.3800000000000026</v>
      </c>
      <c r="D309" s="35">
        <f t="shared" si="34"/>
        <v>80</v>
      </c>
      <c r="E309" s="32">
        <f t="shared" si="38"/>
        <v>79.167574768389073</v>
      </c>
      <c r="F309" s="32">
        <f t="shared" si="38"/>
        <v>78.363482166478278</v>
      </c>
      <c r="G309" s="32">
        <f t="shared" si="38"/>
        <v>77.615146469383774</v>
      </c>
      <c r="H309" s="32">
        <f t="shared" si="38"/>
        <v>76.947987887238554</v>
      </c>
      <c r="I309" s="32">
        <f t="shared" si="38"/>
        <v>76.384802197202333</v>
      </c>
      <c r="J309" s="32">
        <f t="shared" si="38"/>
        <v>75.944688823994809</v>
      </c>
      <c r="K309" s="32">
        <f t="shared" si="38"/>
        <v>75.642706490987138</v>
      </c>
      <c r="L309" s="32">
        <f t="shared" si="38"/>
        <v>75.489085266848932</v>
      </c>
      <c r="M309" s="32">
        <f t="shared" si="35"/>
        <v>75.489085266848932</v>
      </c>
    </row>
    <row r="310" spans="2:13" x14ac:dyDescent="0.25">
      <c r="B310" s="31">
        <v>170</v>
      </c>
      <c r="C310" s="32">
        <f t="shared" ref="C310:C373" si="39">C309+$E$138</f>
        <v>3.4000000000000026</v>
      </c>
      <c r="D310" s="35">
        <f t="shared" ref="D310:D373" si="40">D309</f>
        <v>80</v>
      </c>
      <c r="E310" s="32">
        <f t="shared" si="38"/>
        <v>79.181741083239132</v>
      </c>
      <c r="F310" s="32">
        <f t="shared" si="38"/>
        <v>78.391360618886424</v>
      </c>
      <c r="G310" s="32">
        <f t="shared" si="38"/>
        <v>77.655735026858423</v>
      </c>
      <c r="H310" s="32">
        <f t="shared" si="38"/>
        <v>76.999974333293054</v>
      </c>
      <c r="I310" s="32">
        <f t="shared" si="38"/>
        <v>76.446338355616689</v>
      </c>
      <c r="J310" s="32">
        <f t="shared" si="38"/>
        <v>76.013754344094735</v>
      </c>
      <c r="K310" s="32">
        <f t="shared" si="38"/>
        <v>75.716887045421871</v>
      </c>
      <c r="L310" s="32">
        <f t="shared" si="38"/>
        <v>75.565895878918042</v>
      </c>
      <c r="M310" s="32">
        <f t="shared" si="35"/>
        <v>75.565895878918042</v>
      </c>
    </row>
    <row r="311" spans="2:13" x14ac:dyDescent="0.25">
      <c r="B311" s="31">
        <v>171</v>
      </c>
      <c r="C311" s="32">
        <f t="shared" si="39"/>
        <v>3.4200000000000026</v>
      </c>
      <c r="D311" s="35">
        <f t="shared" si="40"/>
        <v>80</v>
      </c>
      <c r="E311" s="32">
        <f t="shared" si="38"/>
        <v>79.195680309443219</v>
      </c>
      <c r="F311" s="32">
        <f t="shared" si="38"/>
        <v>78.418738055048777</v>
      </c>
      <c r="G311" s="32">
        <f t="shared" si="38"/>
        <v>77.695667476089739</v>
      </c>
      <c r="H311" s="32">
        <f t="shared" si="38"/>
        <v>77.051036691237556</v>
      </c>
      <c r="I311" s="32">
        <f t="shared" si="38"/>
        <v>76.506864338693902</v>
      </c>
      <c r="J311" s="32">
        <f t="shared" si="38"/>
        <v>76.081612700519287</v>
      </c>
      <c r="K311" s="32">
        <f t="shared" si="38"/>
        <v>75.789825111506389</v>
      </c>
      <c r="L311" s="32">
        <f t="shared" si="38"/>
        <v>75.641391462169963</v>
      </c>
      <c r="M311" s="32">
        <f t="shared" si="35"/>
        <v>75.641391462169963</v>
      </c>
    </row>
    <row r="312" spans="2:13" x14ac:dyDescent="0.25">
      <c r="B312" s="31">
        <v>172</v>
      </c>
      <c r="C312" s="32">
        <f t="shared" si="39"/>
        <v>3.4400000000000026</v>
      </c>
      <c r="D312" s="35">
        <f t="shared" si="40"/>
        <v>80</v>
      </c>
      <c r="E312" s="32">
        <f t="shared" si="38"/>
        <v>79.209369027524389</v>
      </c>
      <c r="F312" s="32">
        <f t="shared" si="38"/>
        <v>78.445673892766479</v>
      </c>
      <c r="G312" s="32">
        <f t="shared" si="38"/>
        <v>77.734887373143167</v>
      </c>
      <c r="H312" s="32">
        <f t="shared" si="38"/>
        <v>77.10126590739182</v>
      </c>
      <c r="I312" s="32">
        <f t="shared" si="38"/>
        <v>76.566324695878421</v>
      </c>
      <c r="J312" s="32">
        <f t="shared" si="38"/>
        <v>76.148344725100145</v>
      </c>
      <c r="K312" s="32">
        <f t="shared" si="38"/>
        <v>75.861502081344625</v>
      </c>
      <c r="L312" s="32">
        <f t="shared" si="38"/>
        <v>75.715608286838176</v>
      </c>
      <c r="M312" s="32">
        <f t="shared" si="35"/>
        <v>75.715608286838176</v>
      </c>
    </row>
    <row r="313" spans="2:13" x14ac:dyDescent="0.25">
      <c r="B313" s="31">
        <v>173</v>
      </c>
      <c r="C313" s="32">
        <f t="shared" si="39"/>
        <v>3.4600000000000026</v>
      </c>
      <c r="D313" s="35">
        <f t="shared" si="40"/>
        <v>80</v>
      </c>
      <c r="E313" s="32">
        <f t="shared" si="38"/>
        <v>79.222836946383239</v>
      </c>
      <c r="F313" s="32">
        <f t="shared" si="38"/>
        <v>78.472128200333771</v>
      </c>
      <c r="G313" s="32">
        <f t="shared" si="38"/>
        <v>77.773469900079149</v>
      </c>
      <c r="H313" s="32">
        <f t="shared" si="38"/>
        <v>77.150606034510787</v>
      </c>
      <c r="I313" s="32">
        <f t="shared" si="38"/>
        <v>76.624805316245983</v>
      </c>
      <c r="J313" s="32">
        <f t="shared" si="38"/>
        <v>76.21391338861153</v>
      </c>
      <c r="K313" s="32">
        <f t="shared" si="38"/>
        <v>75.93197650596916</v>
      </c>
      <c r="L313" s="32">
        <f t="shared" si="38"/>
        <v>75.788555184091393</v>
      </c>
      <c r="M313" s="32">
        <f t="shared" si="35"/>
        <v>75.788555184091393</v>
      </c>
    </row>
    <row r="314" spans="2:13" x14ac:dyDescent="0.25">
      <c r="B314" s="31">
        <v>174</v>
      </c>
      <c r="C314" s="32">
        <f t="shared" si="39"/>
        <v>3.4800000000000026</v>
      </c>
      <c r="D314" s="35">
        <f t="shared" si="40"/>
        <v>80</v>
      </c>
      <c r="E314" s="32">
        <f t="shared" si="38"/>
        <v>79.236064100166885</v>
      </c>
      <c r="F314" s="32">
        <f t="shared" si="38"/>
        <v>78.498153423231201</v>
      </c>
      <c r="G314" s="32">
        <f t="shared" si="38"/>
        <v>77.811367117422279</v>
      </c>
      <c r="H314" s="32">
        <f t="shared" si="38"/>
        <v>77.199137608162573</v>
      </c>
      <c r="I314" s="32">
        <f t="shared" si="38"/>
        <v>76.682259711561159</v>
      </c>
      <c r="J314" s="32">
        <f t="shared" si="38"/>
        <v>76.278390911107579</v>
      </c>
      <c r="K314" s="32">
        <f t="shared" si="38"/>
        <v>76.001234286351462</v>
      </c>
      <c r="L314" s="32">
        <f t="shared" si="38"/>
        <v>75.860265845030284</v>
      </c>
      <c r="M314" s="32">
        <f t="shared" si="35"/>
        <v>75.860265845030284</v>
      </c>
    </row>
    <row r="315" spans="2:13" x14ac:dyDescent="0.25">
      <c r="B315" s="31">
        <v>175</v>
      </c>
      <c r="C315" s="32">
        <f t="shared" si="39"/>
        <v>3.5000000000000027</v>
      </c>
      <c r="D315" s="35">
        <f t="shared" si="40"/>
        <v>80</v>
      </c>
      <c r="E315" s="32">
        <f t="shared" si="38"/>
        <v>79.249076711615601</v>
      </c>
      <c r="F315" s="32">
        <f t="shared" si="38"/>
        <v>78.523715608794589</v>
      </c>
      <c r="G315" s="32">
        <f t="shared" si="38"/>
        <v>77.848645515696887</v>
      </c>
      <c r="H315" s="32">
        <f t="shared" si="38"/>
        <v>77.246813414491726</v>
      </c>
      <c r="I315" s="32">
        <f t="shared" si="38"/>
        <v>76.738764259635076</v>
      </c>
      <c r="J315" s="32">
        <f t="shared" si="38"/>
        <v>76.34174699895631</v>
      </c>
      <c r="K315" s="32">
        <f t="shared" si="38"/>
        <v>76.069328378068931</v>
      </c>
      <c r="L315" s="32">
        <f t="shared" si="38"/>
        <v>75.930750065690873</v>
      </c>
      <c r="M315" s="32">
        <f t="shared" si="35"/>
        <v>75.930750065690873</v>
      </c>
    </row>
    <row r="316" spans="2:13" x14ac:dyDescent="0.25">
      <c r="B316" s="31">
        <v>176</v>
      </c>
      <c r="C316" s="32">
        <f t="shared" si="39"/>
        <v>3.5200000000000027</v>
      </c>
      <c r="D316" s="35">
        <f t="shared" si="40"/>
        <v>80</v>
      </c>
      <c r="E316" s="32">
        <f t="shared" si="38"/>
        <v>79.261857804397295</v>
      </c>
      <c r="F316" s="32">
        <f t="shared" si="38"/>
        <v>78.548861113656244</v>
      </c>
      <c r="G316" s="32">
        <f t="shared" si="38"/>
        <v>77.885264511643157</v>
      </c>
      <c r="H316" s="32">
        <f t="shared" si="38"/>
        <v>77.293704887665982</v>
      </c>
      <c r="I316" s="32">
        <f t="shared" si="38"/>
        <v>76.794280206724011</v>
      </c>
      <c r="J316" s="32">
        <f t="shared" si="38"/>
        <v>76.404046318852011</v>
      </c>
      <c r="K316" s="32">
        <f t="shared" si="38"/>
        <v>76.136248532323592</v>
      </c>
      <c r="L316" s="32">
        <f t="shared" si="38"/>
        <v>76.000039221879902</v>
      </c>
      <c r="M316" s="32">
        <f t="shared" si="35"/>
        <v>76.000039221879902</v>
      </c>
    </row>
    <row r="317" spans="2:13" x14ac:dyDescent="0.25">
      <c r="B317" s="31">
        <v>177</v>
      </c>
      <c r="C317" s="32">
        <f t="shared" si="39"/>
        <v>3.5400000000000027</v>
      </c>
      <c r="D317" s="35">
        <f t="shared" si="40"/>
        <v>80</v>
      </c>
      <c r="E317" s="32">
        <f t="shared" si="38"/>
        <v>79.274430556828122</v>
      </c>
      <c r="F317" s="32">
        <f t="shared" si="38"/>
        <v>78.573561158020226</v>
      </c>
      <c r="G317" s="32">
        <f t="shared" si="38"/>
        <v>77.921283000661106</v>
      </c>
      <c r="H317" s="32">
        <f t="shared" si="38"/>
        <v>77.339772359183584</v>
      </c>
      <c r="I317" s="32">
        <f t="shared" si="38"/>
        <v>76.848875603258989</v>
      </c>
      <c r="J317" s="32">
        <f t="shared" si="38"/>
        <v>76.465264369523794</v>
      </c>
      <c r="K317" s="32">
        <f t="shared" si="38"/>
        <v>76.202042770365949</v>
      </c>
      <c r="L317" s="32">
        <f t="shared" si="38"/>
        <v>76.068143877101747</v>
      </c>
      <c r="M317" s="32">
        <f t="shared" si="35"/>
        <v>76.068143877101747</v>
      </c>
    </row>
    <row r="318" spans="2:13" x14ac:dyDescent="0.25">
      <c r="B318" s="31">
        <v>178</v>
      </c>
      <c r="C318" s="32">
        <f t="shared" si="39"/>
        <v>3.5600000000000027</v>
      </c>
      <c r="D318" s="35">
        <f t="shared" si="40"/>
        <v>80</v>
      </c>
      <c r="E318" s="32">
        <f t="shared" ref="E318:L333" si="41">(D317+F317)/2</f>
        <v>79.286780579010113</v>
      </c>
      <c r="F318" s="32">
        <f t="shared" si="41"/>
        <v>78.597856778744614</v>
      </c>
      <c r="G318" s="32">
        <f t="shared" si="41"/>
        <v>77.956666758601898</v>
      </c>
      <c r="H318" s="32">
        <f t="shared" si="41"/>
        <v>77.385079301960047</v>
      </c>
      <c r="I318" s="32">
        <f t="shared" si="41"/>
        <v>76.902518364353682</v>
      </c>
      <c r="J318" s="32">
        <f t="shared" si="41"/>
        <v>76.525459186812469</v>
      </c>
      <c r="K318" s="32">
        <f t="shared" si="41"/>
        <v>76.266704123312763</v>
      </c>
      <c r="L318" s="32">
        <f t="shared" si="41"/>
        <v>76.135093323733855</v>
      </c>
      <c r="M318" s="32">
        <f t="shared" si="35"/>
        <v>76.135093323733855</v>
      </c>
    </row>
    <row r="319" spans="2:13" x14ac:dyDescent="0.25">
      <c r="B319" s="31">
        <v>179</v>
      </c>
      <c r="C319" s="32">
        <f t="shared" si="39"/>
        <v>3.5800000000000027</v>
      </c>
      <c r="D319" s="35">
        <f t="shared" si="40"/>
        <v>80</v>
      </c>
      <c r="E319" s="32">
        <f t="shared" si="41"/>
        <v>79.298928389372307</v>
      </c>
      <c r="F319" s="32">
        <f t="shared" si="41"/>
        <v>78.621723668805998</v>
      </c>
      <c r="G319" s="32">
        <f t="shared" si="41"/>
        <v>77.991468040352331</v>
      </c>
      <c r="H319" s="32">
        <f t="shared" si="41"/>
        <v>77.42959256147779</v>
      </c>
      <c r="I319" s="32">
        <f t="shared" si="41"/>
        <v>76.955269244386258</v>
      </c>
      <c r="J319" s="32">
        <f t="shared" si="41"/>
        <v>76.584611243833223</v>
      </c>
      <c r="K319" s="32">
        <f t="shared" si="41"/>
        <v>76.330276255273162</v>
      </c>
      <c r="L319" s="32">
        <f t="shared" si="41"/>
        <v>76.200898723523309</v>
      </c>
      <c r="M319" s="32">
        <f t="shared" si="35"/>
        <v>76.200898723523309</v>
      </c>
    </row>
    <row r="320" spans="2:13" x14ac:dyDescent="0.25">
      <c r="B320" s="31">
        <v>180</v>
      </c>
      <c r="C320" s="32">
        <f t="shared" si="39"/>
        <v>3.6000000000000028</v>
      </c>
      <c r="D320" s="35">
        <f t="shared" si="40"/>
        <v>80</v>
      </c>
      <c r="E320" s="32">
        <f t="shared" si="41"/>
        <v>79.310861834402999</v>
      </c>
      <c r="F320" s="32">
        <f t="shared" si="41"/>
        <v>78.645198214862319</v>
      </c>
      <c r="G320" s="32">
        <f t="shared" si="41"/>
        <v>78.025658115141894</v>
      </c>
      <c r="H320" s="32">
        <f t="shared" si="41"/>
        <v>77.473368642369294</v>
      </c>
      <c r="I320" s="32">
        <f t="shared" si="41"/>
        <v>77.007101902655506</v>
      </c>
      <c r="J320" s="32">
        <f t="shared" si="41"/>
        <v>76.642772749829703</v>
      </c>
      <c r="K320" s="32">
        <f t="shared" si="41"/>
        <v>76.392754983678259</v>
      </c>
      <c r="L320" s="32">
        <f t="shared" si="41"/>
        <v>76.265587489398229</v>
      </c>
      <c r="M320" s="32">
        <f t="shared" si="35"/>
        <v>76.265587489398229</v>
      </c>
    </row>
    <row r="321" spans="2:13" x14ac:dyDescent="0.25">
      <c r="B321" s="31">
        <v>181</v>
      </c>
      <c r="C321" s="32">
        <f t="shared" si="39"/>
        <v>3.6200000000000028</v>
      </c>
      <c r="D321" s="35">
        <f t="shared" si="40"/>
        <v>80</v>
      </c>
      <c r="E321" s="32">
        <f t="shared" si="41"/>
        <v>79.322599107431159</v>
      </c>
      <c r="F321" s="32">
        <f t="shared" si="41"/>
        <v>78.66825997477244</v>
      </c>
      <c r="G321" s="32">
        <f t="shared" si="41"/>
        <v>78.059283428615799</v>
      </c>
      <c r="H321" s="32">
        <f t="shared" si="41"/>
        <v>77.516380008898693</v>
      </c>
      <c r="I321" s="32">
        <f t="shared" si="41"/>
        <v>77.058070696099492</v>
      </c>
      <c r="J321" s="32">
        <f t="shared" si="41"/>
        <v>76.699928443166883</v>
      </c>
      <c r="K321" s="32">
        <f t="shared" si="41"/>
        <v>76.454180119613966</v>
      </c>
      <c r="L321" s="32">
        <f t="shared" si="41"/>
        <v>76.329171236538244</v>
      </c>
      <c r="M321" s="32">
        <f t="shared" si="35"/>
        <v>76.329171236538244</v>
      </c>
    </row>
    <row r="322" spans="2:13" x14ac:dyDescent="0.25">
      <c r="B322" s="31">
        <v>182</v>
      </c>
      <c r="C322" s="32">
        <f t="shared" si="39"/>
        <v>3.6400000000000028</v>
      </c>
      <c r="D322" s="35">
        <f t="shared" si="40"/>
        <v>80</v>
      </c>
      <c r="E322" s="32">
        <f t="shared" si="41"/>
        <v>79.33412998738622</v>
      </c>
      <c r="F322" s="32">
        <f t="shared" si="41"/>
        <v>78.690941268023479</v>
      </c>
      <c r="G322" s="32">
        <f t="shared" si="41"/>
        <v>78.092319991835566</v>
      </c>
      <c r="H322" s="32">
        <f t="shared" si="41"/>
        <v>77.558677062357646</v>
      </c>
      <c r="I322" s="32">
        <f t="shared" si="41"/>
        <v>77.108154226032781</v>
      </c>
      <c r="J322" s="32">
        <f t="shared" si="41"/>
        <v>76.756125407856729</v>
      </c>
      <c r="K322" s="32">
        <f t="shared" si="41"/>
        <v>76.514549839852563</v>
      </c>
      <c r="L322" s="32">
        <f t="shared" si="41"/>
        <v>76.391675678076098</v>
      </c>
      <c r="M322" s="32">
        <f t="shared" si="35"/>
        <v>76.391675678076098</v>
      </c>
    </row>
    <row r="323" spans="2:13" x14ac:dyDescent="0.25">
      <c r="B323" s="31">
        <v>183</v>
      </c>
      <c r="C323" s="32">
        <f t="shared" si="39"/>
        <v>3.6600000000000028</v>
      </c>
      <c r="D323" s="35">
        <f t="shared" si="40"/>
        <v>80</v>
      </c>
      <c r="E323" s="32">
        <f t="shared" si="41"/>
        <v>79.345470634011747</v>
      </c>
      <c r="F323" s="32">
        <f t="shared" si="41"/>
        <v>78.713224989610893</v>
      </c>
      <c r="G323" s="32">
        <f t="shared" si="41"/>
        <v>78.124809165190555</v>
      </c>
      <c r="H323" s="32">
        <f t="shared" si="41"/>
        <v>77.600237108934181</v>
      </c>
      <c r="I323" s="32">
        <f t="shared" si="41"/>
        <v>77.157401235107187</v>
      </c>
      <c r="J323" s="32">
        <f t="shared" si="41"/>
        <v>76.811352032942665</v>
      </c>
      <c r="K323" s="32">
        <f t="shared" si="41"/>
        <v>76.573900542966413</v>
      </c>
      <c r="L323" s="32">
        <f t="shared" si="41"/>
        <v>76.453112758964323</v>
      </c>
      <c r="M323" s="32">
        <f t="shared" si="35"/>
        <v>76.453112758964323</v>
      </c>
    </row>
    <row r="324" spans="2:13" x14ac:dyDescent="0.25">
      <c r="B324" s="31">
        <v>184</v>
      </c>
      <c r="C324" s="32">
        <f t="shared" si="39"/>
        <v>3.6800000000000028</v>
      </c>
      <c r="D324" s="35">
        <f t="shared" si="40"/>
        <v>80</v>
      </c>
      <c r="E324" s="32">
        <f t="shared" si="41"/>
        <v>79.356612494805447</v>
      </c>
      <c r="F324" s="32">
        <f t="shared" si="41"/>
        <v>78.735139899601151</v>
      </c>
      <c r="G324" s="32">
        <f t="shared" si="41"/>
        <v>78.156731049272537</v>
      </c>
      <c r="H324" s="32">
        <f t="shared" si="41"/>
        <v>77.641105200148871</v>
      </c>
      <c r="I324" s="32">
        <f t="shared" si="41"/>
        <v>77.205794570938423</v>
      </c>
      <c r="J324" s="32">
        <f t="shared" si="41"/>
        <v>76.8656508890368</v>
      </c>
      <c r="K324" s="32">
        <f t="shared" si="41"/>
        <v>76.632232395953494</v>
      </c>
      <c r="L324" s="32">
        <f t="shared" si="41"/>
        <v>76.513506650965368</v>
      </c>
      <c r="M324" s="32">
        <f t="shared" si="35"/>
        <v>76.513506650965368</v>
      </c>
    </row>
    <row r="325" spans="2:13" x14ac:dyDescent="0.25">
      <c r="B325" s="31">
        <v>185</v>
      </c>
      <c r="C325" s="32">
        <f t="shared" si="39"/>
        <v>3.7000000000000028</v>
      </c>
      <c r="D325" s="35">
        <f t="shared" si="40"/>
        <v>80</v>
      </c>
      <c r="E325" s="32">
        <f t="shared" si="41"/>
        <v>79.367569949800583</v>
      </c>
      <c r="F325" s="32">
        <f t="shared" si="41"/>
        <v>78.756671772038999</v>
      </c>
      <c r="G325" s="32">
        <f t="shared" si="41"/>
        <v>78.188122549875004</v>
      </c>
      <c r="H325" s="32">
        <f t="shared" si="41"/>
        <v>77.68126281010548</v>
      </c>
      <c r="I325" s="32">
        <f t="shared" si="41"/>
        <v>77.253378044592836</v>
      </c>
      <c r="J325" s="32">
        <f t="shared" si="41"/>
        <v>76.919013483445951</v>
      </c>
      <c r="K325" s="32">
        <f t="shared" si="41"/>
        <v>76.689578770001077</v>
      </c>
      <c r="L325" s="32">
        <f t="shared" si="41"/>
        <v>76.572869523459431</v>
      </c>
      <c r="M325" s="32">
        <f t="shared" si="35"/>
        <v>76.572869523459431</v>
      </c>
    </row>
    <row r="326" spans="2:13" x14ac:dyDescent="0.25">
      <c r="B326" s="31">
        <v>186</v>
      </c>
      <c r="C326" s="32">
        <f t="shared" si="39"/>
        <v>3.7200000000000029</v>
      </c>
      <c r="D326" s="35">
        <f t="shared" si="40"/>
        <v>80</v>
      </c>
      <c r="E326" s="32">
        <f t="shared" si="41"/>
        <v>79.378335886019499</v>
      </c>
      <c r="F326" s="32">
        <f t="shared" si="41"/>
        <v>78.777846249837793</v>
      </c>
      <c r="G326" s="32">
        <f t="shared" si="41"/>
        <v>78.218967291072232</v>
      </c>
      <c r="H326" s="32">
        <f t="shared" si="41"/>
        <v>77.72075029723392</v>
      </c>
      <c r="I326" s="32">
        <f t="shared" si="41"/>
        <v>77.300138146775708</v>
      </c>
      <c r="J326" s="32">
        <f t="shared" si="41"/>
        <v>76.971478407296956</v>
      </c>
      <c r="K326" s="32">
        <f t="shared" si="41"/>
        <v>76.745941503452684</v>
      </c>
      <c r="L326" s="32">
        <f t="shared" si="41"/>
        <v>76.631224146730261</v>
      </c>
      <c r="M326" s="32">
        <f t="shared" si="35"/>
        <v>76.631224146730261</v>
      </c>
    </row>
    <row r="327" spans="2:13" x14ac:dyDescent="0.25">
      <c r="B327" s="31">
        <v>187</v>
      </c>
      <c r="C327" s="32">
        <f t="shared" si="39"/>
        <v>3.7400000000000029</v>
      </c>
      <c r="D327" s="35">
        <f t="shared" si="40"/>
        <v>80</v>
      </c>
      <c r="E327" s="32">
        <f t="shared" si="41"/>
        <v>79.388923124918904</v>
      </c>
      <c r="F327" s="32">
        <f t="shared" si="41"/>
        <v>78.798651588545866</v>
      </c>
      <c r="G327" s="32">
        <f t="shared" si="41"/>
        <v>78.249298273535857</v>
      </c>
      <c r="H327" s="32">
        <f t="shared" si="41"/>
        <v>77.75955271892397</v>
      </c>
      <c r="I327" s="32">
        <f t="shared" si="41"/>
        <v>77.346114352265431</v>
      </c>
      <c r="J327" s="32">
        <f t="shared" si="41"/>
        <v>77.023039825114196</v>
      </c>
      <c r="K327" s="32">
        <f t="shared" si="41"/>
        <v>76.801351277013609</v>
      </c>
      <c r="L327" s="32">
        <f t="shared" si="41"/>
        <v>76.688582825091473</v>
      </c>
      <c r="M327" s="32">
        <f t="shared" si="35"/>
        <v>76.688582825091473</v>
      </c>
    </row>
    <row r="328" spans="2:13" x14ac:dyDescent="0.25">
      <c r="B328" s="31">
        <v>188</v>
      </c>
      <c r="C328" s="32">
        <f t="shared" si="39"/>
        <v>3.7600000000000029</v>
      </c>
      <c r="D328" s="35">
        <f t="shared" si="40"/>
        <v>80</v>
      </c>
      <c r="E328" s="32">
        <f t="shared" si="41"/>
        <v>79.399325794272926</v>
      </c>
      <c r="F328" s="32">
        <f t="shared" si="41"/>
        <v>78.81911069922738</v>
      </c>
      <c r="G328" s="32">
        <f t="shared" si="41"/>
        <v>78.279102153734925</v>
      </c>
      <c r="H328" s="32">
        <f t="shared" si="41"/>
        <v>77.797706312900644</v>
      </c>
      <c r="I328" s="32">
        <f t="shared" si="41"/>
        <v>77.391296272019076</v>
      </c>
      <c r="J328" s="32">
        <f t="shared" si="41"/>
        <v>77.073732814639527</v>
      </c>
      <c r="K328" s="32">
        <f t="shared" si="41"/>
        <v>76.855811325102835</v>
      </c>
      <c r="L328" s="32">
        <f t="shared" si="41"/>
        <v>76.744967051052541</v>
      </c>
      <c r="M328" s="32">
        <f t="shared" si="35"/>
        <v>76.744967051052541</v>
      </c>
    </row>
    <row r="329" spans="2:13" x14ac:dyDescent="0.25">
      <c r="B329" s="31">
        <v>189</v>
      </c>
      <c r="C329" s="32">
        <f t="shared" si="39"/>
        <v>3.7800000000000029</v>
      </c>
      <c r="D329" s="35">
        <f t="shared" si="40"/>
        <v>80</v>
      </c>
      <c r="E329" s="32">
        <f t="shared" si="41"/>
        <v>79.409555349613697</v>
      </c>
      <c r="F329" s="32">
        <f t="shared" si="41"/>
        <v>78.839213974003926</v>
      </c>
      <c r="G329" s="32">
        <f t="shared" si="41"/>
        <v>78.308408506064012</v>
      </c>
      <c r="H329" s="32">
        <f t="shared" si="41"/>
        <v>77.835199212877001</v>
      </c>
      <c r="I329" s="32">
        <f t="shared" si="41"/>
        <v>77.435719563770078</v>
      </c>
      <c r="J329" s="32">
        <f t="shared" si="41"/>
        <v>77.123553798560948</v>
      </c>
      <c r="K329" s="32">
        <f t="shared" si="41"/>
        <v>76.909349932846027</v>
      </c>
      <c r="L329" s="32">
        <f t="shared" si="41"/>
        <v>76.800389188077688</v>
      </c>
      <c r="M329" s="32">
        <f t="shared" si="35"/>
        <v>76.800389188077688</v>
      </c>
    </row>
    <row r="330" spans="2:13" x14ac:dyDescent="0.25">
      <c r="B330" s="31">
        <v>190</v>
      </c>
      <c r="C330" s="32">
        <f t="shared" si="39"/>
        <v>3.8000000000000029</v>
      </c>
      <c r="D330" s="35">
        <f t="shared" si="40"/>
        <v>80</v>
      </c>
      <c r="E330" s="32">
        <f t="shared" si="41"/>
        <v>79.41960698700197</v>
      </c>
      <c r="F330" s="32">
        <f t="shared" si="41"/>
        <v>78.858981927838855</v>
      </c>
      <c r="G330" s="32">
        <f t="shared" si="41"/>
        <v>78.33720659344047</v>
      </c>
      <c r="H330" s="32">
        <f t="shared" si="41"/>
        <v>77.872064034917045</v>
      </c>
      <c r="I330" s="32">
        <f t="shared" si="41"/>
        <v>77.479376505718974</v>
      </c>
      <c r="J330" s="32">
        <f t="shared" si="41"/>
        <v>77.172534748308053</v>
      </c>
      <c r="K330" s="32">
        <f t="shared" si="41"/>
        <v>76.961971493319311</v>
      </c>
      <c r="L330" s="32">
        <f t="shared" si="41"/>
        <v>76.85486956046185</v>
      </c>
      <c r="M330" s="32">
        <f t="shared" si="35"/>
        <v>76.85486956046185</v>
      </c>
    </row>
    <row r="331" spans="2:13" x14ac:dyDescent="0.25">
      <c r="B331" s="31">
        <v>191</v>
      </c>
      <c r="C331" s="32">
        <f t="shared" si="39"/>
        <v>3.8200000000000029</v>
      </c>
      <c r="D331" s="35">
        <f t="shared" si="40"/>
        <v>80</v>
      </c>
      <c r="E331" s="32">
        <f t="shared" si="41"/>
        <v>79.42949096391942</v>
      </c>
      <c r="F331" s="32">
        <f t="shared" si="41"/>
        <v>78.87840679022122</v>
      </c>
      <c r="G331" s="32">
        <f t="shared" si="41"/>
        <v>78.36552298137795</v>
      </c>
      <c r="H331" s="32">
        <f t="shared" si="41"/>
        <v>77.908291549579729</v>
      </c>
      <c r="I331" s="32">
        <f t="shared" si="41"/>
        <v>77.522299391612549</v>
      </c>
      <c r="J331" s="32">
        <f t="shared" si="41"/>
        <v>77.220673999519136</v>
      </c>
      <c r="K331" s="32">
        <f t="shared" si="41"/>
        <v>77.013702154384958</v>
      </c>
      <c r="L331" s="32">
        <f t="shared" si="41"/>
        <v>76.908420526890581</v>
      </c>
      <c r="M331" s="32">
        <f t="shared" si="35"/>
        <v>76.908420526890581</v>
      </c>
    </row>
    <row r="332" spans="2:13" x14ac:dyDescent="0.25">
      <c r="B332" s="31">
        <v>192</v>
      </c>
      <c r="C332" s="32">
        <f t="shared" si="39"/>
        <v>3.840000000000003</v>
      </c>
      <c r="D332" s="35">
        <f t="shared" si="40"/>
        <v>80</v>
      </c>
      <c r="E332" s="32">
        <f t="shared" si="41"/>
        <v>79.43920339511061</v>
      </c>
      <c r="F332" s="32">
        <f t="shared" si="41"/>
        <v>78.897506972648685</v>
      </c>
      <c r="G332" s="32">
        <f t="shared" si="41"/>
        <v>78.393349169900475</v>
      </c>
      <c r="H332" s="32">
        <f t="shared" si="41"/>
        <v>77.943911186495257</v>
      </c>
      <c r="I332" s="32">
        <f t="shared" si="41"/>
        <v>77.564482774549433</v>
      </c>
      <c r="J332" s="32">
        <f t="shared" si="41"/>
        <v>77.268000772998761</v>
      </c>
      <c r="K332" s="32">
        <f t="shared" si="41"/>
        <v>77.064547263204858</v>
      </c>
      <c r="L332" s="32">
        <f t="shared" si="41"/>
        <v>76.961061340637769</v>
      </c>
      <c r="M332" s="32">
        <f t="shared" si="35"/>
        <v>76.961061340637769</v>
      </c>
    </row>
    <row r="333" spans="2:13" x14ac:dyDescent="0.25">
      <c r="B333" s="31">
        <v>193</v>
      </c>
      <c r="C333" s="32">
        <f t="shared" si="39"/>
        <v>3.860000000000003</v>
      </c>
      <c r="D333" s="35">
        <f t="shared" si="40"/>
        <v>80</v>
      </c>
      <c r="E333" s="32">
        <f t="shared" si="41"/>
        <v>79.448753486324335</v>
      </c>
      <c r="F333" s="32">
        <f t="shared" si="41"/>
        <v>78.916276282505549</v>
      </c>
      <c r="G333" s="32">
        <f t="shared" si="41"/>
        <v>78.420709079571964</v>
      </c>
      <c r="H333" s="32">
        <f t="shared" si="41"/>
        <v>77.978915972224954</v>
      </c>
      <c r="I333" s="32">
        <f t="shared" si="41"/>
        <v>77.605955979747009</v>
      </c>
      <c r="J333" s="32">
        <f t="shared" si="41"/>
        <v>77.314515018877145</v>
      </c>
      <c r="K333" s="32">
        <f t="shared" si="41"/>
        <v>77.114531056818265</v>
      </c>
      <c r="L333" s="32">
        <f t="shared" si="41"/>
        <v>77.012804301921307</v>
      </c>
      <c r="M333" s="32">
        <f t="shared" ref="M333:M396" si="42">L333</f>
        <v>77.012804301921307</v>
      </c>
    </row>
    <row r="334" spans="2:13" x14ac:dyDescent="0.25">
      <c r="B334" s="31">
        <v>194</v>
      </c>
      <c r="C334" s="32">
        <f t="shared" si="39"/>
        <v>3.880000000000003</v>
      </c>
      <c r="D334" s="35">
        <f t="shared" si="40"/>
        <v>80</v>
      </c>
      <c r="E334" s="32">
        <f t="shared" ref="E334:K370" si="43">(D333+F333)/2</f>
        <v>79.458138141252775</v>
      </c>
      <c r="F334" s="32">
        <f t="shared" si="43"/>
        <v>78.93473128294815</v>
      </c>
      <c r="G334" s="32">
        <f t="shared" si="43"/>
        <v>78.447596127365244</v>
      </c>
      <c r="H334" s="32">
        <f t="shared" si="43"/>
        <v>78.013332529659493</v>
      </c>
      <c r="I334" s="32">
        <f t="shared" si="43"/>
        <v>77.646715495551049</v>
      </c>
      <c r="J334" s="32">
        <f t="shared" si="43"/>
        <v>77.36024351828263</v>
      </c>
      <c r="K334" s="32">
        <f t="shared" si="43"/>
        <v>77.163659660399219</v>
      </c>
      <c r="L334" s="32">
        <f t="shared" ref="L334:L397" si="44">(K333+M333)/2</f>
        <v>77.063667679369786</v>
      </c>
      <c r="M334" s="32">
        <f t="shared" si="42"/>
        <v>77.063667679369786</v>
      </c>
    </row>
    <row r="335" spans="2:13" x14ac:dyDescent="0.25">
      <c r="B335" s="31">
        <v>195</v>
      </c>
      <c r="C335" s="32">
        <f t="shared" si="39"/>
        <v>3.900000000000003</v>
      </c>
      <c r="D335" s="35">
        <f t="shared" si="40"/>
        <v>80</v>
      </c>
      <c r="E335" s="32">
        <f t="shared" si="43"/>
        <v>79.467365641474075</v>
      </c>
      <c r="F335" s="32">
        <f t="shared" si="43"/>
        <v>78.952867134309002</v>
      </c>
      <c r="G335" s="32">
        <f t="shared" si="43"/>
        <v>78.474031906303821</v>
      </c>
      <c r="H335" s="32">
        <f t="shared" si="43"/>
        <v>78.04715581145814</v>
      </c>
      <c r="I335" s="32">
        <f t="shared" si="43"/>
        <v>77.686788023971062</v>
      </c>
      <c r="J335" s="32">
        <f t="shared" si="43"/>
        <v>77.405187577975141</v>
      </c>
      <c r="K335" s="32">
        <f t="shared" si="43"/>
        <v>77.211955598826208</v>
      </c>
      <c r="L335" s="32">
        <f t="shared" si="44"/>
        <v>77.113663669884502</v>
      </c>
      <c r="M335" s="32">
        <f t="shared" si="42"/>
        <v>77.113663669884502</v>
      </c>
    </row>
    <row r="336" spans="2:13" x14ac:dyDescent="0.25">
      <c r="B336" s="31">
        <v>196</v>
      </c>
      <c r="C336" s="32">
        <f t="shared" si="39"/>
        <v>3.920000000000003</v>
      </c>
      <c r="D336" s="35">
        <f t="shared" si="40"/>
        <v>80</v>
      </c>
      <c r="E336" s="32">
        <f t="shared" si="43"/>
        <v>79.476433567154501</v>
      </c>
      <c r="F336" s="32">
        <f t="shared" si="43"/>
        <v>78.970698773888955</v>
      </c>
      <c r="G336" s="32">
        <f t="shared" si="43"/>
        <v>78.500011472883571</v>
      </c>
      <c r="H336" s="32">
        <f t="shared" si="43"/>
        <v>78.080409965137449</v>
      </c>
      <c r="I336" s="32">
        <f t="shared" si="43"/>
        <v>77.726171694716641</v>
      </c>
      <c r="J336" s="32">
        <f t="shared" si="43"/>
        <v>77.449371811398635</v>
      </c>
      <c r="K336" s="32">
        <f t="shared" si="43"/>
        <v>77.259425623929815</v>
      </c>
      <c r="L336" s="32">
        <f t="shared" si="44"/>
        <v>77.162809634355355</v>
      </c>
      <c r="M336" s="32">
        <f t="shared" si="42"/>
        <v>77.162809634355355</v>
      </c>
    </row>
    <row r="337" spans="2:13" x14ac:dyDescent="0.25">
      <c r="B337" s="31">
        <v>197</v>
      </c>
      <c r="C337" s="32">
        <f t="shared" si="39"/>
        <v>3.9400000000000031</v>
      </c>
      <c r="D337" s="35">
        <f t="shared" si="40"/>
        <v>80</v>
      </c>
      <c r="E337" s="32">
        <f t="shared" si="43"/>
        <v>79.485349386944478</v>
      </c>
      <c r="F337" s="32">
        <f t="shared" si="43"/>
        <v>78.988222520019036</v>
      </c>
      <c r="G337" s="32">
        <f t="shared" si="43"/>
        <v>78.525554369513202</v>
      </c>
      <c r="H337" s="32">
        <f t="shared" si="43"/>
        <v>78.113091583800099</v>
      </c>
      <c r="I337" s="32">
        <f t="shared" si="43"/>
        <v>77.764890888268042</v>
      </c>
      <c r="J337" s="32">
        <f t="shared" si="43"/>
        <v>77.492798659323228</v>
      </c>
      <c r="K337" s="32">
        <f t="shared" si="43"/>
        <v>77.306090722877002</v>
      </c>
      <c r="L337" s="32">
        <f t="shared" si="44"/>
        <v>77.211117629142592</v>
      </c>
      <c r="M337" s="32">
        <f t="shared" si="42"/>
        <v>77.211117629142592</v>
      </c>
    </row>
    <row r="338" spans="2:13" x14ac:dyDescent="0.25">
      <c r="B338" s="31">
        <v>198</v>
      </c>
      <c r="C338" s="32">
        <f t="shared" si="39"/>
        <v>3.9600000000000031</v>
      </c>
      <c r="D338" s="35">
        <f t="shared" si="40"/>
        <v>80</v>
      </c>
      <c r="E338" s="32">
        <f t="shared" si="43"/>
        <v>79.494111260009518</v>
      </c>
      <c r="F338" s="32">
        <f t="shared" si="43"/>
        <v>79.00545187822884</v>
      </c>
      <c r="G338" s="32">
        <f t="shared" si="43"/>
        <v>78.550657051909567</v>
      </c>
      <c r="H338" s="32">
        <f t="shared" si="43"/>
        <v>78.145222628890622</v>
      </c>
      <c r="I338" s="32">
        <f t="shared" si="43"/>
        <v>77.802945121561663</v>
      </c>
      <c r="J338" s="32">
        <f t="shared" si="43"/>
        <v>77.535490805572522</v>
      </c>
      <c r="K338" s="32">
        <f t="shared" si="43"/>
        <v>77.35195814423291</v>
      </c>
      <c r="L338" s="32">
        <f t="shared" si="44"/>
        <v>77.258604176009797</v>
      </c>
      <c r="M338" s="32">
        <f t="shared" si="42"/>
        <v>77.258604176009797</v>
      </c>
    </row>
    <row r="339" spans="2:13" x14ac:dyDescent="0.25">
      <c r="B339" s="31">
        <v>199</v>
      </c>
      <c r="C339" s="32">
        <f t="shared" si="39"/>
        <v>3.9800000000000031</v>
      </c>
      <c r="D339" s="35">
        <f t="shared" si="40"/>
        <v>80</v>
      </c>
      <c r="E339" s="32">
        <f t="shared" si="43"/>
        <v>79.502725939114413</v>
      </c>
      <c r="F339" s="32">
        <f t="shared" si="43"/>
        <v>79.022384155959543</v>
      </c>
      <c r="G339" s="32">
        <f t="shared" si="43"/>
        <v>78.575337253559724</v>
      </c>
      <c r="H339" s="32">
        <f t="shared" si="43"/>
        <v>78.176801086735622</v>
      </c>
      <c r="I339" s="32">
        <f t="shared" si="43"/>
        <v>77.840356717231572</v>
      </c>
      <c r="J339" s="32">
        <f t="shared" si="43"/>
        <v>77.577451632897294</v>
      </c>
      <c r="K339" s="32">
        <f t="shared" si="43"/>
        <v>77.397047490791152</v>
      </c>
      <c r="L339" s="32">
        <f t="shared" si="44"/>
        <v>77.305281160121353</v>
      </c>
      <c r="M339" s="32">
        <f t="shared" si="42"/>
        <v>77.305281160121353</v>
      </c>
    </row>
    <row r="340" spans="2:13" x14ac:dyDescent="0.25">
      <c r="B340" s="31">
        <v>200</v>
      </c>
      <c r="C340" s="32">
        <f t="shared" si="39"/>
        <v>4.0000000000000027</v>
      </c>
      <c r="D340" s="35">
        <f t="shared" si="40"/>
        <v>80</v>
      </c>
      <c r="E340" s="32">
        <f t="shared" si="43"/>
        <v>79.511192077979771</v>
      </c>
      <c r="F340" s="32">
        <f t="shared" si="43"/>
        <v>79.039031596337068</v>
      </c>
      <c r="G340" s="32">
        <f t="shared" si="43"/>
        <v>78.599592621347583</v>
      </c>
      <c r="H340" s="32">
        <f t="shared" si="43"/>
        <v>78.207846985395648</v>
      </c>
      <c r="I340" s="32">
        <f t="shared" si="43"/>
        <v>77.877126359816458</v>
      </c>
      <c r="J340" s="32">
        <f t="shared" si="43"/>
        <v>77.618702104011362</v>
      </c>
      <c r="K340" s="32">
        <f t="shared" si="43"/>
        <v>77.441366396509324</v>
      </c>
      <c r="L340" s="32">
        <f t="shared" si="44"/>
        <v>77.351164325456253</v>
      </c>
      <c r="M340" s="32">
        <f t="shared" si="42"/>
        <v>77.351164325456253</v>
      </c>
    </row>
    <row r="341" spans="2:13" x14ac:dyDescent="0.25">
      <c r="B341" s="31">
        <v>201</v>
      </c>
      <c r="C341" s="32">
        <f t="shared" si="39"/>
        <v>4.0200000000000022</v>
      </c>
      <c r="D341" s="35">
        <f t="shared" si="40"/>
        <v>80</v>
      </c>
      <c r="E341" s="32">
        <f t="shared" si="43"/>
        <v>79.519515798168527</v>
      </c>
      <c r="F341" s="32">
        <f t="shared" si="43"/>
        <v>79.055392349663677</v>
      </c>
      <c r="G341" s="32">
        <f t="shared" si="43"/>
        <v>78.623439290866358</v>
      </c>
      <c r="H341" s="32">
        <f t="shared" si="43"/>
        <v>78.238359490582013</v>
      </c>
      <c r="I341" s="32">
        <f t="shared" si="43"/>
        <v>77.913274544703512</v>
      </c>
      <c r="J341" s="32">
        <f t="shared" si="43"/>
        <v>77.659246378162891</v>
      </c>
      <c r="K341" s="32">
        <f t="shared" si="43"/>
        <v>77.484933214733815</v>
      </c>
      <c r="L341" s="32">
        <f t="shared" si="44"/>
        <v>77.396265360982795</v>
      </c>
      <c r="M341" s="32">
        <f t="shared" si="42"/>
        <v>77.396265360982795</v>
      </c>
    </row>
    <row r="342" spans="2:13" x14ac:dyDescent="0.25">
      <c r="B342" s="31">
        <v>202</v>
      </c>
      <c r="C342" s="32">
        <f t="shared" si="39"/>
        <v>4.0400000000000018</v>
      </c>
      <c r="D342" s="35">
        <f t="shared" si="40"/>
        <v>80</v>
      </c>
      <c r="E342" s="32">
        <f t="shared" si="43"/>
        <v>79.527696174831846</v>
      </c>
      <c r="F342" s="32">
        <f t="shared" si="43"/>
        <v>79.07147754451745</v>
      </c>
      <c r="G342" s="32">
        <f t="shared" si="43"/>
        <v>78.646875920122852</v>
      </c>
      <c r="H342" s="32">
        <f t="shared" si="43"/>
        <v>78.268356917784928</v>
      </c>
      <c r="I342" s="32">
        <f t="shared" si="43"/>
        <v>77.948802934372452</v>
      </c>
      <c r="J342" s="32">
        <f t="shared" si="43"/>
        <v>77.699103879718663</v>
      </c>
      <c r="K342" s="32">
        <f t="shared" si="43"/>
        <v>77.527755869572843</v>
      </c>
      <c r="L342" s="32">
        <f t="shared" si="44"/>
        <v>77.440599287858305</v>
      </c>
      <c r="M342" s="32">
        <f t="shared" si="42"/>
        <v>77.440599287858305</v>
      </c>
    </row>
    <row r="343" spans="2:13" x14ac:dyDescent="0.25">
      <c r="B343" s="31">
        <v>203</v>
      </c>
      <c r="C343" s="32">
        <f t="shared" si="39"/>
        <v>4.0600000000000014</v>
      </c>
      <c r="D343" s="35">
        <f t="shared" si="40"/>
        <v>80</v>
      </c>
      <c r="E343" s="32">
        <f t="shared" si="43"/>
        <v>79.535738772258725</v>
      </c>
      <c r="F343" s="32">
        <f t="shared" si="43"/>
        <v>79.087286047477349</v>
      </c>
      <c r="G343" s="32">
        <f t="shared" si="43"/>
        <v>78.669917231151189</v>
      </c>
      <c r="H343" s="32">
        <f t="shared" si="43"/>
        <v>78.297839427247652</v>
      </c>
      <c r="I343" s="32">
        <f t="shared" si="43"/>
        <v>77.983730398751788</v>
      </c>
      <c r="J343" s="32">
        <f t="shared" si="43"/>
        <v>77.738279401972648</v>
      </c>
      <c r="K343" s="32">
        <f t="shared" si="43"/>
        <v>77.569851583788477</v>
      </c>
      <c r="L343" s="32">
        <f t="shared" si="44"/>
        <v>77.484177578715574</v>
      </c>
      <c r="M343" s="32">
        <f t="shared" si="42"/>
        <v>77.484177578715574</v>
      </c>
    </row>
    <row r="344" spans="2:13" x14ac:dyDescent="0.25">
      <c r="B344" s="31">
        <v>204</v>
      </c>
      <c r="C344" s="32">
        <f t="shared" si="39"/>
        <v>4.080000000000001</v>
      </c>
      <c r="D344" s="35">
        <f t="shared" si="40"/>
        <v>80</v>
      </c>
      <c r="E344" s="32">
        <f t="shared" si="43"/>
        <v>79.543643023738667</v>
      </c>
      <c r="F344" s="32">
        <f t="shared" si="43"/>
        <v>79.10282800170495</v>
      </c>
      <c r="G344" s="32">
        <f t="shared" si="43"/>
        <v>78.692562737362493</v>
      </c>
      <c r="H344" s="32">
        <f t="shared" si="43"/>
        <v>78.326823814951496</v>
      </c>
      <c r="I344" s="32">
        <f t="shared" si="43"/>
        <v>78.01805941461015</v>
      </c>
      <c r="J344" s="32">
        <f t="shared" si="43"/>
        <v>77.776790991270133</v>
      </c>
      <c r="K344" s="32">
        <f t="shared" si="43"/>
        <v>77.611228490344104</v>
      </c>
      <c r="L344" s="32">
        <f t="shared" si="44"/>
        <v>77.527014581252018</v>
      </c>
      <c r="M344" s="32">
        <f t="shared" si="42"/>
        <v>77.527014581252018</v>
      </c>
    </row>
    <row r="345" spans="2:13" x14ac:dyDescent="0.25">
      <c r="B345" s="31">
        <v>205</v>
      </c>
      <c r="C345" s="32">
        <f t="shared" si="39"/>
        <v>4.1000000000000005</v>
      </c>
      <c r="D345" s="35">
        <f t="shared" si="40"/>
        <v>80</v>
      </c>
      <c r="E345" s="32">
        <f t="shared" si="43"/>
        <v>79.551414000852475</v>
      </c>
      <c r="F345" s="32">
        <f t="shared" si="43"/>
        <v>79.11810288055058</v>
      </c>
      <c r="G345" s="32">
        <f t="shared" si="43"/>
        <v>78.714825908328223</v>
      </c>
      <c r="H345" s="32">
        <f t="shared" si="43"/>
        <v>78.355311075986322</v>
      </c>
      <c r="I345" s="32">
        <f t="shared" si="43"/>
        <v>78.051807403110814</v>
      </c>
      <c r="J345" s="32">
        <f t="shared" si="43"/>
        <v>77.814643952477127</v>
      </c>
      <c r="K345" s="32">
        <f t="shared" si="43"/>
        <v>77.651902786261076</v>
      </c>
      <c r="L345" s="32">
        <f t="shared" si="44"/>
        <v>77.569121535798061</v>
      </c>
      <c r="M345" s="32">
        <f t="shared" si="42"/>
        <v>77.569121535798061</v>
      </c>
    </row>
    <row r="346" spans="2:13" x14ac:dyDescent="0.25">
      <c r="B346" s="31">
        <v>206</v>
      </c>
      <c r="C346" s="32">
        <f t="shared" si="39"/>
        <v>4.12</v>
      </c>
      <c r="D346" s="35">
        <f t="shared" si="40"/>
        <v>80</v>
      </c>
      <c r="E346" s="32">
        <f t="shared" si="43"/>
        <v>79.559051440275283</v>
      </c>
      <c r="F346" s="32">
        <f t="shared" si="43"/>
        <v>79.133119954590342</v>
      </c>
      <c r="G346" s="32">
        <f t="shared" si="43"/>
        <v>78.736706978268444</v>
      </c>
      <c r="H346" s="32">
        <f t="shared" si="43"/>
        <v>78.383316655719511</v>
      </c>
      <c r="I346" s="32">
        <f t="shared" si="43"/>
        <v>78.084977514231724</v>
      </c>
      <c r="J346" s="32">
        <f t="shared" si="43"/>
        <v>77.851855094685945</v>
      </c>
      <c r="K346" s="32">
        <f t="shared" si="43"/>
        <v>77.691882744137587</v>
      </c>
      <c r="L346" s="32">
        <f t="shared" si="44"/>
        <v>77.610512161029561</v>
      </c>
      <c r="M346" s="32">
        <f t="shared" si="42"/>
        <v>77.610512161029561</v>
      </c>
    </row>
    <row r="347" spans="2:13" x14ac:dyDescent="0.25">
      <c r="B347" s="31">
        <v>207</v>
      </c>
      <c r="C347" s="32">
        <f t="shared" si="39"/>
        <v>4.1399999999999997</v>
      </c>
      <c r="D347" s="35">
        <f t="shared" si="40"/>
        <v>80</v>
      </c>
      <c r="E347" s="32">
        <f t="shared" si="43"/>
        <v>79.566559977295171</v>
      </c>
      <c r="F347" s="32">
        <f t="shared" si="43"/>
        <v>79.147879209271863</v>
      </c>
      <c r="G347" s="32">
        <f t="shared" si="43"/>
        <v>78.758218305154926</v>
      </c>
      <c r="H347" s="32">
        <f t="shared" si="43"/>
        <v>78.410842246250084</v>
      </c>
      <c r="I347" s="32">
        <f t="shared" si="43"/>
        <v>78.117585875202735</v>
      </c>
      <c r="J347" s="32">
        <f t="shared" si="43"/>
        <v>77.888430129184655</v>
      </c>
      <c r="K347" s="32">
        <f t="shared" si="43"/>
        <v>77.731183627857746</v>
      </c>
      <c r="L347" s="32">
        <f t="shared" si="44"/>
        <v>77.651197452583574</v>
      </c>
      <c r="M347" s="32">
        <f t="shared" si="42"/>
        <v>77.651197452583574</v>
      </c>
    </row>
    <row r="348" spans="2:13" x14ac:dyDescent="0.25">
      <c r="B348" s="31">
        <v>208</v>
      </c>
      <c r="C348" s="32">
        <f t="shared" si="39"/>
        <v>4.1599999999999993</v>
      </c>
      <c r="D348" s="35">
        <f t="shared" si="40"/>
        <v>80</v>
      </c>
      <c r="E348" s="32">
        <f t="shared" si="43"/>
        <v>79.573939604635939</v>
      </c>
      <c r="F348" s="32">
        <f t="shared" si="43"/>
        <v>79.162389141225049</v>
      </c>
      <c r="G348" s="32">
        <f t="shared" si="43"/>
        <v>78.779360727760974</v>
      </c>
      <c r="H348" s="32">
        <f t="shared" si="43"/>
        <v>78.437902090178824</v>
      </c>
      <c r="I348" s="32">
        <f t="shared" si="43"/>
        <v>78.149636187717363</v>
      </c>
      <c r="J348" s="32">
        <f t="shared" si="43"/>
        <v>77.924384751530241</v>
      </c>
      <c r="K348" s="32">
        <f t="shared" si="43"/>
        <v>77.769813790884115</v>
      </c>
      <c r="L348" s="32">
        <f t="shared" si="44"/>
        <v>77.69119054022066</v>
      </c>
      <c r="M348" s="32">
        <f t="shared" si="42"/>
        <v>77.69119054022066</v>
      </c>
    </row>
    <row r="349" spans="2:13" x14ac:dyDescent="0.25">
      <c r="B349" s="31">
        <v>209</v>
      </c>
      <c r="C349" s="32">
        <f t="shared" si="39"/>
        <v>4.1799999999999988</v>
      </c>
      <c r="D349" s="35">
        <f t="shared" si="40"/>
        <v>80</v>
      </c>
      <c r="E349" s="32">
        <f t="shared" si="43"/>
        <v>79.581194570612524</v>
      </c>
      <c r="F349" s="32">
        <f t="shared" si="43"/>
        <v>79.176650166198456</v>
      </c>
      <c r="G349" s="32">
        <f t="shared" si="43"/>
        <v>78.800145615701936</v>
      </c>
      <c r="H349" s="32">
        <f t="shared" si="43"/>
        <v>78.464498457739168</v>
      </c>
      <c r="I349" s="32">
        <f t="shared" si="43"/>
        <v>78.181143420854539</v>
      </c>
      <c r="J349" s="32">
        <f t="shared" si="43"/>
        <v>77.959724989300739</v>
      </c>
      <c r="K349" s="32">
        <f t="shared" si="43"/>
        <v>77.80778764587545</v>
      </c>
      <c r="L349" s="32">
        <f t="shared" si="44"/>
        <v>77.730502165552394</v>
      </c>
      <c r="M349" s="32">
        <f t="shared" si="42"/>
        <v>77.730502165552394</v>
      </c>
    </row>
    <row r="350" spans="2:13" x14ac:dyDescent="0.25">
      <c r="B350" s="31">
        <v>210</v>
      </c>
      <c r="C350" s="32">
        <f t="shared" si="39"/>
        <v>4.1999999999999984</v>
      </c>
      <c r="D350" s="35">
        <f t="shared" si="40"/>
        <v>80</v>
      </c>
      <c r="E350" s="32">
        <f t="shared" si="43"/>
        <v>79.588325083099221</v>
      </c>
      <c r="F350" s="32">
        <f t="shared" si="43"/>
        <v>79.190670093157223</v>
      </c>
      <c r="G350" s="32">
        <f t="shared" si="43"/>
        <v>78.820574311968812</v>
      </c>
      <c r="H350" s="32">
        <f t="shared" si="43"/>
        <v>78.490644518278231</v>
      </c>
      <c r="I350" s="32">
        <f t="shared" si="43"/>
        <v>78.212111723519953</v>
      </c>
      <c r="J350" s="32">
        <f t="shared" si="43"/>
        <v>77.994465533365002</v>
      </c>
      <c r="K350" s="32">
        <f t="shared" si="43"/>
        <v>77.845113577426559</v>
      </c>
      <c r="L350" s="32">
        <f t="shared" si="44"/>
        <v>77.769144905713915</v>
      </c>
      <c r="M350" s="32">
        <f t="shared" si="42"/>
        <v>77.769144905713915</v>
      </c>
    </row>
    <row r="351" spans="2:13" x14ac:dyDescent="0.25">
      <c r="B351" s="31">
        <v>211</v>
      </c>
      <c r="C351" s="32">
        <f t="shared" si="39"/>
        <v>4.219999999999998</v>
      </c>
      <c r="D351" s="35">
        <f t="shared" si="40"/>
        <v>80</v>
      </c>
      <c r="E351" s="32">
        <f t="shared" si="43"/>
        <v>79.595335046578612</v>
      </c>
      <c r="F351" s="32">
        <f t="shared" si="43"/>
        <v>79.204449697534017</v>
      </c>
      <c r="G351" s="32">
        <f t="shared" si="43"/>
        <v>78.840657305717727</v>
      </c>
      <c r="H351" s="32">
        <f t="shared" si="43"/>
        <v>78.51634301774439</v>
      </c>
      <c r="I351" s="32">
        <f t="shared" si="43"/>
        <v>78.242555025821616</v>
      </c>
      <c r="J351" s="32">
        <f t="shared" si="43"/>
        <v>78.028612650473264</v>
      </c>
      <c r="K351" s="32">
        <f t="shared" si="43"/>
        <v>77.881805219539459</v>
      </c>
      <c r="L351" s="32">
        <f t="shared" si="44"/>
        <v>77.807129241570237</v>
      </c>
      <c r="M351" s="32">
        <f t="shared" si="42"/>
        <v>77.807129241570237</v>
      </c>
    </row>
    <row r="352" spans="2:13" x14ac:dyDescent="0.25">
      <c r="B352" s="31">
        <v>212</v>
      </c>
      <c r="C352" s="32">
        <f t="shared" si="39"/>
        <v>4.2399999999999975</v>
      </c>
      <c r="D352" s="35">
        <f t="shared" si="40"/>
        <v>80</v>
      </c>
      <c r="E352" s="32">
        <f t="shared" si="43"/>
        <v>79.602224848767008</v>
      </c>
      <c r="F352" s="32">
        <f t="shared" si="43"/>
        <v>79.217996176148176</v>
      </c>
      <c r="G352" s="32">
        <f t="shared" si="43"/>
        <v>78.860396357639203</v>
      </c>
      <c r="H352" s="32">
        <f t="shared" si="43"/>
        <v>78.541606165769679</v>
      </c>
      <c r="I352" s="32">
        <f t="shared" si="43"/>
        <v>78.272477834108827</v>
      </c>
      <c r="J352" s="32">
        <f t="shared" si="43"/>
        <v>78.06218012268053</v>
      </c>
      <c r="K352" s="32">
        <f t="shared" si="43"/>
        <v>77.91787094602175</v>
      </c>
      <c r="L352" s="32">
        <f t="shared" si="44"/>
        <v>77.844467230554841</v>
      </c>
      <c r="M352" s="32">
        <f t="shared" si="42"/>
        <v>77.844467230554841</v>
      </c>
    </row>
    <row r="353" spans="2:13" x14ac:dyDescent="0.25">
      <c r="B353" s="31">
        <v>213</v>
      </c>
      <c r="C353" s="32">
        <f t="shared" si="39"/>
        <v>4.2599999999999971</v>
      </c>
      <c r="D353" s="35">
        <f t="shared" si="40"/>
        <v>80</v>
      </c>
      <c r="E353" s="32">
        <f t="shared" si="43"/>
        <v>79.608998088074088</v>
      </c>
      <c r="F353" s="32">
        <f t="shared" si="43"/>
        <v>79.231310603203099</v>
      </c>
      <c r="G353" s="32">
        <f t="shared" si="43"/>
        <v>78.879801170958928</v>
      </c>
      <c r="H353" s="32">
        <f t="shared" si="43"/>
        <v>78.566437095874022</v>
      </c>
      <c r="I353" s="32">
        <f t="shared" si="43"/>
        <v>78.301893144225104</v>
      </c>
      <c r="J353" s="32">
        <f t="shared" si="43"/>
        <v>78.095174390065296</v>
      </c>
      <c r="K353" s="32">
        <f t="shared" si="43"/>
        <v>77.953323676617686</v>
      </c>
      <c r="L353" s="32">
        <f t="shared" si="44"/>
        <v>77.881169088288289</v>
      </c>
      <c r="M353" s="32">
        <f t="shared" si="42"/>
        <v>77.881169088288289</v>
      </c>
    </row>
    <row r="354" spans="2:13" x14ac:dyDescent="0.25">
      <c r="B354" s="31">
        <v>214</v>
      </c>
      <c r="C354" s="32">
        <f t="shared" si="39"/>
        <v>4.2799999999999967</v>
      </c>
      <c r="D354" s="35">
        <f t="shared" si="40"/>
        <v>80</v>
      </c>
      <c r="E354" s="32">
        <f t="shared" si="43"/>
        <v>79.615655301601549</v>
      </c>
      <c r="F354" s="32">
        <f t="shared" si="43"/>
        <v>79.244399629516508</v>
      </c>
      <c r="G354" s="32">
        <f t="shared" si="43"/>
        <v>78.89887384953856</v>
      </c>
      <c r="H354" s="32">
        <f t="shared" si="43"/>
        <v>78.590847157592009</v>
      </c>
      <c r="I354" s="32">
        <f t="shared" si="43"/>
        <v>78.330805742969659</v>
      </c>
      <c r="J354" s="32">
        <f t="shared" si="43"/>
        <v>78.127608410421402</v>
      </c>
      <c r="K354" s="32">
        <f t="shared" si="43"/>
        <v>77.988171739176792</v>
      </c>
      <c r="L354" s="32">
        <f t="shared" si="44"/>
        <v>77.917246382452987</v>
      </c>
      <c r="M354" s="32">
        <f t="shared" si="42"/>
        <v>77.917246382452987</v>
      </c>
    </row>
    <row r="355" spans="2:13" x14ac:dyDescent="0.25">
      <c r="B355" s="31">
        <v>215</v>
      </c>
      <c r="C355" s="32">
        <f t="shared" si="39"/>
        <v>4.2999999999999963</v>
      </c>
      <c r="D355" s="35">
        <f t="shared" si="40"/>
        <v>80</v>
      </c>
      <c r="E355" s="32">
        <f t="shared" si="43"/>
        <v>79.622199814758261</v>
      </c>
      <c r="F355" s="32">
        <f t="shared" si="43"/>
        <v>79.257264575570048</v>
      </c>
      <c r="G355" s="32">
        <f t="shared" si="43"/>
        <v>78.917623393554265</v>
      </c>
      <c r="H355" s="32">
        <f t="shared" si="43"/>
        <v>78.614839796254103</v>
      </c>
      <c r="I355" s="32">
        <f t="shared" si="43"/>
        <v>78.359227784006706</v>
      </c>
      <c r="J355" s="32">
        <f t="shared" si="43"/>
        <v>78.159488741073233</v>
      </c>
      <c r="K355" s="32">
        <f t="shared" si="43"/>
        <v>78.022427396437195</v>
      </c>
      <c r="L355" s="32">
        <f t="shared" si="44"/>
        <v>77.952709060814897</v>
      </c>
      <c r="M355" s="32">
        <f t="shared" si="42"/>
        <v>77.952709060814897</v>
      </c>
    </row>
    <row r="356" spans="2:13" x14ac:dyDescent="0.25">
      <c r="B356" s="31">
        <v>216</v>
      </c>
      <c r="C356" s="32">
        <f t="shared" si="39"/>
        <v>4.3199999999999958</v>
      </c>
      <c r="D356" s="35">
        <f t="shared" si="40"/>
        <v>80</v>
      </c>
      <c r="E356" s="32">
        <f t="shared" si="43"/>
        <v>79.628632287785024</v>
      </c>
      <c r="F356" s="32">
        <f t="shared" si="43"/>
        <v>79.269911604156263</v>
      </c>
      <c r="G356" s="32">
        <f t="shared" si="43"/>
        <v>78.936052185912075</v>
      </c>
      <c r="H356" s="32">
        <f t="shared" si="43"/>
        <v>78.638425588780478</v>
      </c>
      <c r="I356" s="32">
        <f t="shared" si="43"/>
        <v>78.387164268663668</v>
      </c>
      <c r="J356" s="32">
        <f t="shared" si="43"/>
        <v>78.190827590221943</v>
      </c>
      <c r="K356" s="32">
        <f t="shared" si="43"/>
        <v>78.056098900944065</v>
      </c>
      <c r="L356" s="32">
        <f t="shared" si="44"/>
        <v>77.987568228626046</v>
      </c>
      <c r="M356" s="32">
        <f t="shared" si="42"/>
        <v>77.987568228626046</v>
      </c>
    </row>
    <row r="357" spans="2:13" x14ac:dyDescent="0.25">
      <c r="B357" s="31">
        <v>217</v>
      </c>
      <c r="C357" s="32">
        <f t="shared" si="39"/>
        <v>4.3399999999999954</v>
      </c>
      <c r="D357" s="35">
        <f t="shared" si="40"/>
        <v>80</v>
      </c>
      <c r="E357" s="32">
        <f t="shared" si="43"/>
        <v>79.634955802078139</v>
      </c>
      <c r="F357" s="32">
        <f t="shared" si="43"/>
        <v>79.28234223684855</v>
      </c>
      <c r="G357" s="32">
        <f t="shared" si="43"/>
        <v>78.954168596468378</v>
      </c>
      <c r="H357" s="32">
        <f t="shared" si="43"/>
        <v>78.661608227287871</v>
      </c>
      <c r="I357" s="32">
        <f t="shared" si="43"/>
        <v>78.414626589501211</v>
      </c>
      <c r="J357" s="32">
        <f t="shared" si="43"/>
        <v>78.221631584803873</v>
      </c>
      <c r="K357" s="32">
        <f t="shared" si="43"/>
        <v>78.089197909424001</v>
      </c>
      <c r="L357" s="32">
        <f t="shared" si="44"/>
        <v>78.021833564785055</v>
      </c>
      <c r="M357" s="32">
        <f t="shared" si="42"/>
        <v>78.021833564785055</v>
      </c>
    </row>
    <row r="358" spans="2:13" x14ac:dyDescent="0.25">
      <c r="B358" s="31">
        <v>218</v>
      </c>
      <c r="C358" s="32">
        <f t="shared" si="39"/>
        <v>4.359999999999995</v>
      </c>
      <c r="D358" s="35">
        <f t="shared" si="40"/>
        <v>80</v>
      </c>
      <c r="E358" s="32">
        <f t="shared" si="43"/>
        <v>79.641171118424268</v>
      </c>
      <c r="F358" s="32">
        <f t="shared" si="43"/>
        <v>79.294562199273258</v>
      </c>
      <c r="G358" s="32">
        <f t="shared" si="43"/>
        <v>78.971975232068218</v>
      </c>
      <c r="H358" s="32">
        <f t="shared" si="43"/>
        <v>78.684397592984794</v>
      </c>
      <c r="I358" s="32">
        <f t="shared" si="43"/>
        <v>78.441619906045872</v>
      </c>
      <c r="J358" s="32">
        <f t="shared" si="43"/>
        <v>78.251912249462606</v>
      </c>
      <c r="K358" s="32">
        <f t="shared" si="43"/>
        <v>78.121732574794464</v>
      </c>
      <c r="L358" s="32">
        <f t="shared" si="44"/>
        <v>78.055515737104528</v>
      </c>
      <c r="M358" s="32">
        <f t="shared" si="42"/>
        <v>78.055515737104528</v>
      </c>
    </row>
    <row r="359" spans="2:13" x14ac:dyDescent="0.25">
      <c r="B359" s="31">
        <v>219</v>
      </c>
      <c r="C359" s="32">
        <f t="shared" si="39"/>
        <v>4.3799999999999946</v>
      </c>
      <c r="D359" s="35">
        <f t="shared" si="40"/>
        <v>80</v>
      </c>
      <c r="E359" s="32">
        <f t="shared" si="43"/>
        <v>79.647281099636629</v>
      </c>
      <c r="F359" s="32">
        <f t="shared" si="43"/>
        <v>79.306573175246243</v>
      </c>
      <c r="G359" s="32">
        <f t="shared" si="43"/>
        <v>78.989479896129026</v>
      </c>
      <c r="H359" s="32">
        <f t="shared" si="43"/>
        <v>78.706797569057045</v>
      </c>
      <c r="I359" s="32">
        <f t="shared" si="43"/>
        <v>78.4681549212237</v>
      </c>
      <c r="J359" s="32">
        <f t="shared" si="43"/>
        <v>78.281676240420168</v>
      </c>
      <c r="K359" s="32">
        <f t="shared" si="43"/>
        <v>78.15371399328356</v>
      </c>
      <c r="L359" s="32">
        <f t="shared" si="44"/>
        <v>78.088624155949503</v>
      </c>
      <c r="M359" s="32">
        <f t="shared" si="42"/>
        <v>78.088624155949503</v>
      </c>
    </row>
    <row r="360" spans="2:13" x14ac:dyDescent="0.25">
      <c r="B360" s="31">
        <v>220</v>
      </c>
      <c r="C360" s="32">
        <f t="shared" si="39"/>
        <v>4.3999999999999941</v>
      </c>
      <c r="D360" s="35">
        <f t="shared" si="40"/>
        <v>80</v>
      </c>
      <c r="E360" s="32">
        <f t="shared" si="43"/>
        <v>79.653286587623114</v>
      </c>
      <c r="F360" s="32">
        <f t="shared" si="43"/>
        <v>79.318380497882828</v>
      </c>
      <c r="G360" s="32">
        <f t="shared" si="43"/>
        <v>79.006685372151651</v>
      </c>
      <c r="H360" s="32">
        <f t="shared" si="43"/>
        <v>78.728817408676363</v>
      </c>
      <c r="I360" s="32">
        <f t="shared" si="43"/>
        <v>78.494236904738614</v>
      </c>
      <c r="J360" s="32">
        <f t="shared" si="43"/>
        <v>78.310934457253637</v>
      </c>
      <c r="K360" s="32">
        <f t="shared" si="43"/>
        <v>78.185150198184829</v>
      </c>
      <c r="L360" s="32">
        <f t="shared" si="44"/>
        <v>78.121169074616532</v>
      </c>
      <c r="M360" s="32">
        <f t="shared" si="42"/>
        <v>78.121169074616532</v>
      </c>
    </row>
    <row r="361" spans="2:13" x14ac:dyDescent="0.25">
      <c r="B361" s="31">
        <v>221</v>
      </c>
      <c r="C361" s="32">
        <f t="shared" si="39"/>
        <v>4.4199999999999937</v>
      </c>
      <c r="D361" s="35">
        <f t="shared" si="40"/>
        <v>80</v>
      </c>
      <c r="E361" s="32">
        <f t="shared" si="43"/>
        <v>79.659190248941414</v>
      </c>
      <c r="F361" s="32">
        <f t="shared" si="43"/>
        <v>79.329985979887383</v>
      </c>
      <c r="G361" s="32">
        <f t="shared" si="43"/>
        <v>79.023598953279588</v>
      </c>
      <c r="H361" s="32">
        <f t="shared" si="43"/>
        <v>78.750461138445132</v>
      </c>
      <c r="I361" s="32">
        <f t="shared" si="43"/>
        <v>78.519875932964993</v>
      </c>
      <c r="J361" s="32">
        <f t="shared" si="43"/>
        <v>78.339693551461721</v>
      </c>
      <c r="K361" s="32">
        <f t="shared" si="43"/>
        <v>78.216051765935077</v>
      </c>
      <c r="L361" s="32">
        <f t="shared" si="44"/>
        <v>78.153159636400687</v>
      </c>
      <c r="M361" s="32">
        <f t="shared" si="42"/>
        <v>78.153159636400687</v>
      </c>
    </row>
    <row r="362" spans="2:13" x14ac:dyDescent="0.25">
      <c r="B362" s="31">
        <v>222</v>
      </c>
      <c r="C362" s="32">
        <f t="shared" si="39"/>
        <v>4.4399999999999933</v>
      </c>
      <c r="D362" s="35">
        <f t="shared" si="40"/>
        <v>80</v>
      </c>
      <c r="E362" s="32">
        <f t="shared" si="43"/>
        <v>79.664992989943698</v>
      </c>
      <c r="F362" s="32">
        <f t="shared" si="43"/>
        <v>79.341394601110494</v>
      </c>
      <c r="G362" s="32">
        <f t="shared" si="43"/>
        <v>79.040223559166265</v>
      </c>
      <c r="H362" s="32">
        <f t="shared" si="43"/>
        <v>78.771737443122291</v>
      </c>
      <c r="I362" s="32">
        <f t="shared" si="43"/>
        <v>78.545077344953427</v>
      </c>
      <c r="J362" s="32">
        <f t="shared" si="43"/>
        <v>78.367963849450035</v>
      </c>
      <c r="K362" s="32">
        <f t="shared" si="43"/>
        <v>78.246426593931204</v>
      </c>
      <c r="L362" s="32">
        <f t="shared" si="44"/>
        <v>78.184605701167882</v>
      </c>
      <c r="M362" s="32">
        <f t="shared" si="42"/>
        <v>78.184605701167882</v>
      </c>
    </row>
    <row r="363" spans="2:13" x14ac:dyDescent="0.25">
      <c r="B363" s="31">
        <v>223</v>
      </c>
      <c r="C363" s="32">
        <f t="shared" si="39"/>
        <v>4.4599999999999929</v>
      </c>
      <c r="D363" s="35">
        <f t="shared" si="40"/>
        <v>80</v>
      </c>
      <c r="E363" s="32">
        <f t="shared" si="43"/>
        <v>79.670697300555247</v>
      </c>
      <c r="F363" s="32">
        <f t="shared" si="43"/>
        <v>79.352608274554981</v>
      </c>
      <c r="G363" s="32">
        <f t="shared" si="43"/>
        <v>79.056566022116385</v>
      </c>
      <c r="H363" s="32">
        <f t="shared" si="43"/>
        <v>78.792650452059846</v>
      </c>
      <c r="I363" s="32">
        <f t="shared" si="43"/>
        <v>78.56985064628617</v>
      </c>
      <c r="J363" s="32">
        <f t="shared" si="43"/>
        <v>78.395751969442315</v>
      </c>
      <c r="K363" s="32">
        <f t="shared" si="43"/>
        <v>78.276284775308966</v>
      </c>
      <c r="L363" s="32">
        <f t="shared" si="44"/>
        <v>78.21551614754955</v>
      </c>
      <c r="M363" s="32">
        <f t="shared" si="42"/>
        <v>78.21551614754955</v>
      </c>
    </row>
    <row r="364" spans="2:13" x14ac:dyDescent="0.25">
      <c r="B364" s="31">
        <v>224</v>
      </c>
      <c r="C364" s="32">
        <f t="shared" si="39"/>
        <v>4.4799999999999924</v>
      </c>
      <c r="D364" s="35">
        <f t="shared" si="40"/>
        <v>80</v>
      </c>
      <c r="E364" s="32">
        <f t="shared" si="43"/>
        <v>79.676304137277498</v>
      </c>
      <c r="F364" s="32">
        <f t="shared" si="43"/>
        <v>79.363631661335816</v>
      </c>
      <c r="G364" s="32">
        <f t="shared" si="43"/>
        <v>79.072629363307414</v>
      </c>
      <c r="H364" s="32">
        <f t="shared" si="43"/>
        <v>78.813208334201278</v>
      </c>
      <c r="I364" s="32">
        <f t="shared" si="43"/>
        <v>78.594201210751081</v>
      </c>
      <c r="J364" s="32">
        <f t="shared" si="43"/>
        <v>78.423067710797568</v>
      </c>
      <c r="K364" s="32">
        <f t="shared" si="43"/>
        <v>78.30563405849594</v>
      </c>
      <c r="L364" s="32">
        <f t="shared" si="44"/>
        <v>78.245900461429258</v>
      </c>
      <c r="M364" s="32">
        <f t="shared" si="42"/>
        <v>78.245900461429258</v>
      </c>
    </row>
    <row r="365" spans="2:13" x14ac:dyDescent="0.25">
      <c r="B365" s="31">
        <v>225</v>
      </c>
      <c r="C365" s="32">
        <f t="shared" si="39"/>
        <v>4.499999999999992</v>
      </c>
      <c r="D365" s="35">
        <f t="shared" si="40"/>
        <v>80</v>
      </c>
      <c r="E365" s="32">
        <f t="shared" si="43"/>
        <v>79.681815830667915</v>
      </c>
      <c r="F365" s="32">
        <f t="shared" si="43"/>
        <v>79.374466750292456</v>
      </c>
      <c r="G365" s="32">
        <f t="shared" si="43"/>
        <v>79.08841999776854</v>
      </c>
      <c r="H365" s="32">
        <f t="shared" si="43"/>
        <v>78.833415287029254</v>
      </c>
      <c r="I365" s="32">
        <f t="shared" si="43"/>
        <v>78.618138022499423</v>
      </c>
      <c r="J365" s="32">
        <f t="shared" si="43"/>
        <v>78.449917634623517</v>
      </c>
      <c r="K365" s="32">
        <f t="shared" si="43"/>
        <v>78.334484086113406</v>
      </c>
      <c r="L365" s="32">
        <f t="shared" si="44"/>
        <v>78.275767259962606</v>
      </c>
      <c r="M365" s="32">
        <f t="shared" si="42"/>
        <v>78.275767259962606</v>
      </c>
    </row>
    <row r="366" spans="2:13" x14ac:dyDescent="0.25">
      <c r="B366" s="31">
        <v>226</v>
      </c>
      <c r="C366" s="32">
        <f t="shared" si="39"/>
        <v>4.5199999999999916</v>
      </c>
      <c r="D366" s="35">
        <f t="shared" si="40"/>
        <v>80</v>
      </c>
      <c r="E366" s="32">
        <f t="shared" si="43"/>
        <v>79.687233375146235</v>
      </c>
      <c r="F366" s="32">
        <f t="shared" si="43"/>
        <v>79.385117914218227</v>
      </c>
      <c r="G366" s="32">
        <f t="shared" si="43"/>
        <v>79.103941018660862</v>
      </c>
      <c r="H366" s="32">
        <f t="shared" si="43"/>
        <v>78.853279010133974</v>
      </c>
      <c r="I366" s="32">
        <f t="shared" si="43"/>
        <v>78.641666460826386</v>
      </c>
      <c r="J366" s="32">
        <f t="shared" si="43"/>
        <v>78.476311054306422</v>
      </c>
      <c r="K366" s="32">
        <f t="shared" si="43"/>
        <v>78.362842447293062</v>
      </c>
      <c r="L366" s="32">
        <f t="shared" si="44"/>
        <v>78.305125673038006</v>
      </c>
      <c r="M366" s="32">
        <f t="shared" si="42"/>
        <v>78.305125673038006</v>
      </c>
    </row>
    <row r="367" spans="2:13" x14ac:dyDescent="0.25">
      <c r="B367" s="31">
        <v>227</v>
      </c>
      <c r="C367" s="32">
        <f t="shared" si="39"/>
        <v>4.5399999999999912</v>
      </c>
      <c r="D367" s="35">
        <f t="shared" si="40"/>
        <v>80</v>
      </c>
      <c r="E367" s="32">
        <f t="shared" si="43"/>
        <v>79.692558957109114</v>
      </c>
      <c r="F367" s="32">
        <f t="shared" si="43"/>
        <v>79.395587196903548</v>
      </c>
      <c r="G367" s="32">
        <f t="shared" si="43"/>
        <v>79.119198462176101</v>
      </c>
      <c r="H367" s="32">
        <f t="shared" si="43"/>
        <v>78.872803739743631</v>
      </c>
      <c r="I367" s="32">
        <f t="shared" si="43"/>
        <v>78.664795032220198</v>
      </c>
      <c r="J367" s="32">
        <f t="shared" si="43"/>
        <v>78.502254454059724</v>
      </c>
      <c r="K367" s="32">
        <f t="shared" si="43"/>
        <v>78.390718363672221</v>
      </c>
      <c r="L367" s="32">
        <f t="shared" si="44"/>
        <v>78.333984060165534</v>
      </c>
      <c r="M367" s="32">
        <f t="shared" si="42"/>
        <v>78.333984060165534</v>
      </c>
    </row>
    <row r="368" spans="2:13" x14ac:dyDescent="0.25">
      <c r="B368" s="31">
        <v>228</v>
      </c>
      <c r="C368" s="32">
        <f t="shared" si="39"/>
        <v>4.5599999999999907</v>
      </c>
      <c r="D368" s="35">
        <f t="shared" si="40"/>
        <v>80</v>
      </c>
      <c r="E368" s="32">
        <f t="shared" si="43"/>
        <v>79.697793598451767</v>
      </c>
      <c r="F368" s="32">
        <f t="shared" si="43"/>
        <v>79.405878709642607</v>
      </c>
      <c r="G368" s="32">
        <f t="shared" si="43"/>
        <v>79.134195468323583</v>
      </c>
      <c r="H368" s="32">
        <f t="shared" si="43"/>
        <v>78.891996747198149</v>
      </c>
      <c r="I368" s="32">
        <f t="shared" si="43"/>
        <v>78.68752909690167</v>
      </c>
      <c r="J368" s="32">
        <f t="shared" si="43"/>
        <v>78.527756697946216</v>
      </c>
      <c r="K368" s="32">
        <f t="shared" si="43"/>
        <v>78.418119257112636</v>
      </c>
      <c r="L368" s="32">
        <f t="shared" si="44"/>
        <v>78.362351211918877</v>
      </c>
      <c r="M368" s="32">
        <f t="shared" si="42"/>
        <v>78.362351211918877</v>
      </c>
    </row>
    <row r="369" spans="2:13" x14ac:dyDescent="0.25">
      <c r="B369" s="31">
        <v>229</v>
      </c>
      <c r="C369" s="32">
        <f t="shared" si="39"/>
        <v>4.5799999999999903</v>
      </c>
      <c r="D369" s="35">
        <f t="shared" si="40"/>
        <v>80</v>
      </c>
      <c r="E369" s="32">
        <f t="shared" si="43"/>
        <v>79.702939354821297</v>
      </c>
      <c r="F369" s="32">
        <f t="shared" si="43"/>
        <v>79.415994533387675</v>
      </c>
      <c r="G369" s="32">
        <f t="shared" si="43"/>
        <v>79.148937728420378</v>
      </c>
      <c r="H369" s="32">
        <f t="shared" si="43"/>
        <v>78.910862282612626</v>
      </c>
      <c r="I369" s="32">
        <f t="shared" si="43"/>
        <v>78.709876722572176</v>
      </c>
      <c r="J369" s="32">
        <f t="shared" si="43"/>
        <v>78.552824177007153</v>
      </c>
      <c r="K369" s="32">
        <f t="shared" si="43"/>
        <v>78.445053954932547</v>
      </c>
      <c r="L369" s="32">
        <f t="shared" si="44"/>
        <v>78.390235234515757</v>
      </c>
      <c r="M369" s="32">
        <f t="shared" si="42"/>
        <v>78.390235234515757</v>
      </c>
    </row>
    <row r="370" spans="2:13" x14ac:dyDescent="0.25">
      <c r="B370" s="31">
        <v>230</v>
      </c>
      <c r="C370" s="32">
        <f t="shared" si="39"/>
        <v>4.5999999999999899</v>
      </c>
      <c r="D370" s="35">
        <f t="shared" si="40"/>
        <v>80</v>
      </c>
      <c r="E370" s="32">
        <f t="shared" si="43"/>
        <v>79.707997266693837</v>
      </c>
      <c r="F370" s="32">
        <f t="shared" si="43"/>
        <v>79.425938541620837</v>
      </c>
      <c r="G370" s="32">
        <f t="shared" si="43"/>
        <v>79.163428408000158</v>
      </c>
      <c r="H370" s="32">
        <f t="shared" ref="E370:K406" si="45">(G369+I369)/2</f>
        <v>78.929407225496277</v>
      </c>
      <c r="I370" s="32">
        <f t="shared" si="45"/>
        <v>78.731843229809897</v>
      </c>
      <c r="J370" s="32">
        <f t="shared" si="45"/>
        <v>78.577465338752361</v>
      </c>
      <c r="K370" s="32">
        <f t="shared" si="45"/>
        <v>78.471529705761455</v>
      </c>
      <c r="L370" s="32">
        <f t="shared" si="44"/>
        <v>78.417644594724152</v>
      </c>
      <c r="M370" s="32">
        <f t="shared" si="42"/>
        <v>78.417644594724152</v>
      </c>
    </row>
    <row r="371" spans="2:13" x14ac:dyDescent="0.25">
      <c r="B371" s="31">
        <v>231</v>
      </c>
      <c r="C371" s="32">
        <f t="shared" si="39"/>
        <v>4.6199999999999894</v>
      </c>
      <c r="D371" s="35">
        <f t="shared" si="40"/>
        <v>80</v>
      </c>
      <c r="E371" s="32">
        <f t="shared" si="45"/>
        <v>79.712969270810419</v>
      </c>
      <c r="F371" s="32">
        <f t="shared" si="45"/>
        <v>79.435712837346998</v>
      </c>
      <c r="G371" s="32">
        <f t="shared" si="45"/>
        <v>79.177672883558557</v>
      </c>
      <c r="H371" s="32">
        <f t="shared" si="45"/>
        <v>78.947635818905027</v>
      </c>
      <c r="I371" s="32">
        <f t="shared" si="45"/>
        <v>78.753436282124312</v>
      </c>
      <c r="J371" s="32">
        <f t="shared" si="45"/>
        <v>78.601686467785669</v>
      </c>
      <c r="K371" s="32">
        <f t="shared" si="45"/>
        <v>78.49755496673825</v>
      </c>
      <c r="L371" s="32">
        <f t="shared" si="44"/>
        <v>78.444587150242796</v>
      </c>
      <c r="M371" s="32">
        <f t="shared" si="42"/>
        <v>78.444587150242796</v>
      </c>
    </row>
    <row r="372" spans="2:13" x14ac:dyDescent="0.25">
      <c r="B372" s="31">
        <v>232</v>
      </c>
      <c r="C372" s="32">
        <f t="shared" si="39"/>
        <v>4.639999999999989</v>
      </c>
      <c r="D372" s="35">
        <f t="shared" si="40"/>
        <v>80</v>
      </c>
      <c r="E372" s="32">
        <f t="shared" si="45"/>
        <v>79.717856418673506</v>
      </c>
      <c r="F372" s="32">
        <f t="shared" si="45"/>
        <v>79.445321077184488</v>
      </c>
      <c r="G372" s="32">
        <f t="shared" si="45"/>
        <v>79.191674328126012</v>
      </c>
      <c r="H372" s="32">
        <f t="shared" si="45"/>
        <v>78.965554582841435</v>
      </c>
      <c r="I372" s="32">
        <f t="shared" si="45"/>
        <v>78.774661143345355</v>
      </c>
      <c r="J372" s="32">
        <f t="shared" si="45"/>
        <v>78.625495624431281</v>
      </c>
      <c r="K372" s="32">
        <f t="shared" si="45"/>
        <v>78.523136809014233</v>
      </c>
      <c r="L372" s="32">
        <f t="shared" si="44"/>
        <v>78.471071058490523</v>
      </c>
      <c r="M372" s="32">
        <f t="shared" si="42"/>
        <v>78.471071058490523</v>
      </c>
    </row>
    <row r="373" spans="2:13" x14ac:dyDescent="0.25">
      <c r="B373" s="31">
        <v>233</v>
      </c>
      <c r="C373" s="32">
        <f t="shared" si="39"/>
        <v>4.6599999999999886</v>
      </c>
      <c r="D373" s="35">
        <f t="shared" si="40"/>
        <v>80</v>
      </c>
      <c r="E373" s="32">
        <f t="shared" si="45"/>
        <v>79.722660538592237</v>
      </c>
      <c r="F373" s="32">
        <f t="shared" si="45"/>
        <v>79.454765373399766</v>
      </c>
      <c r="G373" s="32">
        <f t="shared" si="45"/>
        <v>79.205437830012954</v>
      </c>
      <c r="H373" s="32">
        <f t="shared" si="45"/>
        <v>78.983167735735691</v>
      </c>
      <c r="I373" s="32">
        <f t="shared" si="45"/>
        <v>78.795525103636351</v>
      </c>
      <c r="J373" s="32">
        <f t="shared" si="45"/>
        <v>78.648898976179794</v>
      </c>
      <c r="K373" s="32">
        <f t="shared" si="45"/>
        <v>78.548283341460902</v>
      </c>
      <c r="L373" s="32">
        <f t="shared" si="44"/>
        <v>78.497103933752385</v>
      </c>
      <c r="M373" s="32">
        <f t="shared" si="42"/>
        <v>78.497103933752385</v>
      </c>
    </row>
    <row r="374" spans="2:13" x14ac:dyDescent="0.25">
      <c r="B374" s="31">
        <v>234</v>
      </c>
      <c r="C374" s="32">
        <f t="shared" ref="C374:C437" si="46">C373+$E$138</f>
        <v>4.6799999999999882</v>
      </c>
      <c r="D374" s="35">
        <f t="shared" ref="D374:D437" si="47">D373</f>
        <v>80</v>
      </c>
      <c r="E374" s="32">
        <f t="shared" si="45"/>
        <v>79.727382686699883</v>
      </c>
      <c r="F374" s="32">
        <f t="shared" si="45"/>
        <v>79.464049184302596</v>
      </c>
      <c r="G374" s="32">
        <f t="shared" si="45"/>
        <v>79.218966554567729</v>
      </c>
      <c r="H374" s="32">
        <f t="shared" si="45"/>
        <v>79.000481466824652</v>
      </c>
      <c r="I374" s="32">
        <f t="shared" si="45"/>
        <v>78.816033355957742</v>
      </c>
      <c r="J374" s="32">
        <f t="shared" si="45"/>
        <v>78.671904222548619</v>
      </c>
      <c r="K374" s="32">
        <f t="shared" si="45"/>
        <v>78.573001454966089</v>
      </c>
      <c r="L374" s="32">
        <f t="shared" si="44"/>
        <v>78.522693637606636</v>
      </c>
      <c r="M374" s="32">
        <f t="shared" si="42"/>
        <v>78.522693637606636</v>
      </c>
    </row>
    <row r="375" spans="2:13" x14ac:dyDescent="0.25">
      <c r="B375" s="31">
        <v>235</v>
      </c>
      <c r="C375" s="32">
        <f t="shared" si="46"/>
        <v>4.6999999999999877</v>
      </c>
      <c r="D375" s="35">
        <f t="shared" si="47"/>
        <v>80</v>
      </c>
      <c r="E375" s="32">
        <f t="shared" si="45"/>
        <v>79.732024592151305</v>
      </c>
      <c r="F375" s="32">
        <f t="shared" si="45"/>
        <v>79.473174620633813</v>
      </c>
      <c r="G375" s="32">
        <f t="shared" si="45"/>
        <v>79.232265325563617</v>
      </c>
      <c r="H375" s="32">
        <f t="shared" si="45"/>
        <v>79.017499955262736</v>
      </c>
      <c r="I375" s="32">
        <f t="shared" si="45"/>
        <v>78.836192844686636</v>
      </c>
      <c r="J375" s="32">
        <f t="shared" si="45"/>
        <v>78.694517405461909</v>
      </c>
      <c r="K375" s="32">
        <f t="shared" si="45"/>
        <v>78.597298930077628</v>
      </c>
      <c r="L375" s="32">
        <f t="shared" si="44"/>
        <v>78.547847546286363</v>
      </c>
      <c r="M375" s="32">
        <f t="shared" si="42"/>
        <v>78.547847546286363</v>
      </c>
    </row>
    <row r="376" spans="2:13" x14ac:dyDescent="0.25">
      <c r="B376" s="31">
        <v>236</v>
      </c>
      <c r="C376" s="32">
        <f t="shared" si="46"/>
        <v>4.7199999999999873</v>
      </c>
      <c r="D376" s="35">
        <f t="shared" si="47"/>
        <v>80</v>
      </c>
      <c r="E376" s="32">
        <f t="shared" si="45"/>
        <v>79.736587310316906</v>
      </c>
      <c r="F376" s="32">
        <f t="shared" si="45"/>
        <v>79.482144958857461</v>
      </c>
      <c r="G376" s="32">
        <f t="shared" si="45"/>
        <v>79.245337287948274</v>
      </c>
      <c r="H376" s="32">
        <f t="shared" si="45"/>
        <v>79.034229085125133</v>
      </c>
      <c r="I376" s="32">
        <f t="shared" si="45"/>
        <v>78.856008680362322</v>
      </c>
      <c r="J376" s="32">
        <f t="shared" si="45"/>
        <v>78.716745887382132</v>
      </c>
      <c r="K376" s="32">
        <f t="shared" si="45"/>
        <v>78.621182475874136</v>
      </c>
      <c r="L376" s="32">
        <f t="shared" si="44"/>
        <v>78.572573238182002</v>
      </c>
      <c r="M376" s="32">
        <f t="shared" si="42"/>
        <v>78.572573238182002</v>
      </c>
    </row>
    <row r="377" spans="2:13" x14ac:dyDescent="0.25">
      <c r="B377" s="31">
        <v>237</v>
      </c>
      <c r="C377" s="32">
        <f t="shared" si="46"/>
        <v>4.7399999999999869</v>
      </c>
      <c r="D377" s="35">
        <f t="shared" si="47"/>
        <v>80</v>
      </c>
      <c r="E377" s="32">
        <f t="shared" si="45"/>
        <v>79.741072479428738</v>
      </c>
      <c r="F377" s="32">
        <f t="shared" si="45"/>
        <v>79.49096229913259</v>
      </c>
      <c r="G377" s="32">
        <f t="shared" si="45"/>
        <v>79.25818702199129</v>
      </c>
      <c r="H377" s="32">
        <f t="shared" si="45"/>
        <v>79.050672984155298</v>
      </c>
      <c r="I377" s="32">
        <f t="shared" si="45"/>
        <v>78.875487486253633</v>
      </c>
      <c r="J377" s="32">
        <f t="shared" si="45"/>
        <v>78.738595578118236</v>
      </c>
      <c r="K377" s="32">
        <f t="shared" si="45"/>
        <v>78.644659562782067</v>
      </c>
      <c r="L377" s="32">
        <f t="shared" si="44"/>
        <v>78.596877857028062</v>
      </c>
      <c r="M377" s="32">
        <f t="shared" si="42"/>
        <v>78.596877857028062</v>
      </c>
    </row>
    <row r="378" spans="2:13" x14ac:dyDescent="0.25">
      <c r="B378" s="31">
        <v>238</v>
      </c>
      <c r="C378" s="32">
        <f t="shared" si="46"/>
        <v>4.7599999999999865</v>
      </c>
      <c r="D378" s="35">
        <f t="shared" si="47"/>
        <v>80</v>
      </c>
      <c r="E378" s="32">
        <f t="shared" si="45"/>
        <v>79.745481149566302</v>
      </c>
      <c r="F378" s="32">
        <f t="shared" si="45"/>
        <v>79.499629750710014</v>
      </c>
      <c r="G378" s="32">
        <f t="shared" si="45"/>
        <v>79.270817641643944</v>
      </c>
      <c r="H378" s="32">
        <f t="shared" si="45"/>
        <v>79.066837254122461</v>
      </c>
      <c r="I378" s="32">
        <f t="shared" si="45"/>
        <v>78.894634281136774</v>
      </c>
      <c r="J378" s="32">
        <f t="shared" si="45"/>
        <v>78.76007352451785</v>
      </c>
      <c r="K378" s="32">
        <f t="shared" si="45"/>
        <v>78.667736717573149</v>
      </c>
      <c r="L378" s="32">
        <f t="shared" si="44"/>
        <v>78.620768709905064</v>
      </c>
      <c r="M378" s="32">
        <f t="shared" si="42"/>
        <v>78.620768709905064</v>
      </c>
    </row>
    <row r="379" spans="2:13" x14ac:dyDescent="0.25">
      <c r="B379" s="31">
        <v>239</v>
      </c>
      <c r="C379" s="32">
        <f t="shared" si="46"/>
        <v>4.779999999999986</v>
      </c>
      <c r="D379" s="35">
        <f t="shared" si="47"/>
        <v>80</v>
      </c>
      <c r="E379" s="32">
        <f t="shared" si="45"/>
        <v>79.749814875355014</v>
      </c>
      <c r="F379" s="32">
        <f t="shared" si="45"/>
        <v>79.50814939560513</v>
      </c>
      <c r="G379" s="32">
        <f t="shared" si="45"/>
        <v>79.283233502416238</v>
      </c>
      <c r="H379" s="32">
        <f t="shared" si="45"/>
        <v>79.082725961390366</v>
      </c>
      <c r="I379" s="32">
        <f t="shared" si="45"/>
        <v>78.913455389320148</v>
      </c>
      <c r="J379" s="32">
        <f t="shared" si="45"/>
        <v>78.781185499354962</v>
      </c>
      <c r="K379" s="32">
        <f t="shared" si="45"/>
        <v>78.690421117211457</v>
      </c>
      <c r="L379" s="32">
        <f t="shared" si="44"/>
        <v>78.644252713739107</v>
      </c>
      <c r="M379" s="32">
        <f t="shared" si="42"/>
        <v>78.644252713739107</v>
      </c>
    </row>
    <row r="380" spans="2:13" x14ac:dyDescent="0.25">
      <c r="B380" s="31">
        <v>240</v>
      </c>
      <c r="C380" s="32">
        <f t="shared" si="46"/>
        <v>4.7999999999999856</v>
      </c>
      <c r="D380" s="35">
        <f t="shared" si="47"/>
        <v>80</v>
      </c>
      <c r="E380" s="32">
        <f t="shared" si="45"/>
        <v>79.754074697802565</v>
      </c>
      <c r="F380" s="32">
        <f t="shared" si="45"/>
        <v>79.516524188885626</v>
      </c>
      <c r="G380" s="32">
        <f t="shared" si="45"/>
        <v>79.295437678497748</v>
      </c>
      <c r="H380" s="32">
        <f t="shared" si="45"/>
        <v>79.098344445868193</v>
      </c>
      <c r="I380" s="32">
        <f t="shared" si="45"/>
        <v>78.931955730372664</v>
      </c>
      <c r="J380" s="32">
        <f t="shared" si="45"/>
        <v>78.801938253265803</v>
      </c>
      <c r="K380" s="32">
        <f t="shared" si="45"/>
        <v>78.712719106547041</v>
      </c>
      <c r="L380" s="32">
        <f t="shared" si="44"/>
        <v>78.667336915475289</v>
      </c>
      <c r="M380" s="32">
        <f t="shared" si="42"/>
        <v>78.667336915475289</v>
      </c>
    </row>
    <row r="381" spans="2:13" x14ac:dyDescent="0.25">
      <c r="B381" s="31">
        <v>241</v>
      </c>
      <c r="C381" s="32">
        <f t="shared" si="46"/>
        <v>4.8199999999999852</v>
      </c>
      <c r="D381" s="35">
        <f t="shared" si="47"/>
        <v>80</v>
      </c>
      <c r="E381" s="32">
        <f t="shared" si="45"/>
        <v>79.758262094442813</v>
      </c>
      <c r="F381" s="32">
        <f t="shared" si="45"/>
        <v>79.52475618815015</v>
      </c>
      <c r="G381" s="32">
        <f t="shared" si="45"/>
        <v>79.307434317376902</v>
      </c>
      <c r="H381" s="32">
        <f t="shared" si="45"/>
        <v>79.113696704435199</v>
      </c>
      <c r="I381" s="32">
        <f t="shared" si="45"/>
        <v>78.950141349566991</v>
      </c>
      <c r="J381" s="32">
        <f t="shared" si="45"/>
        <v>78.822337418459853</v>
      </c>
      <c r="K381" s="32">
        <f t="shared" si="45"/>
        <v>78.734637584370546</v>
      </c>
      <c r="L381" s="32">
        <f t="shared" si="44"/>
        <v>78.690028011011165</v>
      </c>
      <c r="M381" s="32">
        <f t="shared" si="42"/>
        <v>78.690028011011165</v>
      </c>
    </row>
    <row r="382" spans="2:13" x14ac:dyDescent="0.25">
      <c r="B382" s="31">
        <v>242</v>
      </c>
      <c r="C382" s="32">
        <f t="shared" si="46"/>
        <v>4.8399999999999848</v>
      </c>
      <c r="D382" s="35">
        <f t="shared" si="47"/>
        <v>80</v>
      </c>
      <c r="E382" s="32">
        <f t="shared" si="45"/>
        <v>79.762378094075075</v>
      </c>
      <c r="F382" s="32">
        <f t="shared" si="45"/>
        <v>79.532848205909858</v>
      </c>
      <c r="G382" s="32">
        <f t="shared" si="45"/>
        <v>79.319226446292674</v>
      </c>
      <c r="H382" s="32">
        <f t="shared" si="45"/>
        <v>79.128787833471947</v>
      </c>
      <c r="I382" s="32">
        <f t="shared" si="45"/>
        <v>78.968017061447526</v>
      </c>
      <c r="J382" s="32">
        <f t="shared" si="45"/>
        <v>78.842389466968768</v>
      </c>
      <c r="K382" s="32">
        <f t="shared" si="45"/>
        <v>78.756182714735502</v>
      </c>
      <c r="L382" s="32">
        <f t="shared" si="44"/>
        <v>78.712332797690863</v>
      </c>
      <c r="M382" s="32">
        <f t="shared" si="42"/>
        <v>78.712332797690863</v>
      </c>
    </row>
    <row r="383" spans="2:13" x14ac:dyDescent="0.25">
      <c r="B383" s="31">
        <v>243</v>
      </c>
      <c r="C383" s="32">
        <f t="shared" si="46"/>
        <v>4.8599999999999843</v>
      </c>
      <c r="D383" s="35">
        <f t="shared" si="47"/>
        <v>80</v>
      </c>
      <c r="E383" s="32">
        <f t="shared" si="45"/>
        <v>79.766424102954929</v>
      </c>
      <c r="F383" s="32">
        <f t="shared" si="45"/>
        <v>79.540802270183875</v>
      </c>
      <c r="G383" s="32">
        <f t="shared" si="45"/>
        <v>79.330818019690895</v>
      </c>
      <c r="H383" s="32">
        <f t="shared" si="45"/>
        <v>79.143621753870093</v>
      </c>
      <c r="I383" s="32">
        <f t="shared" si="45"/>
        <v>78.985588650220365</v>
      </c>
      <c r="J383" s="32">
        <f t="shared" si="45"/>
        <v>78.862099888091507</v>
      </c>
      <c r="K383" s="32">
        <f t="shared" si="45"/>
        <v>78.777361132329816</v>
      </c>
      <c r="L383" s="32">
        <f t="shared" si="44"/>
        <v>78.734257756213182</v>
      </c>
      <c r="M383" s="32">
        <f t="shared" si="42"/>
        <v>78.734257756213182</v>
      </c>
    </row>
    <row r="384" spans="2:13" x14ac:dyDescent="0.25">
      <c r="B384" s="31">
        <v>244</v>
      </c>
      <c r="C384" s="32">
        <f t="shared" si="46"/>
        <v>4.8799999999999839</v>
      </c>
      <c r="D384" s="35">
        <f t="shared" si="47"/>
        <v>80</v>
      </c>
      <c r="E384" s="32">
        <f t="shared" si="45"/>
        <v>79.77040113509193</v>
      </c>
      <c r="F384" s="32">
        <f t="shared" si="45"/>
        <v>79.548621061322905</v>
      </c>
      <c r="G384" s="32">
        <f t="shared" si="45"/>
        <v>79.342212012026977</v>
      </c>
      <c r="H384" s="32">
        <f t="shared" si="45"/>
        <v>79.15820333495563</v>
      </c>
      <c r="I384" s="32">
        <f t="shared" si="45"/>
        <v>79.0028608209808</v>
      </c>
      <c r="J384" s="32">
        <f t="shared" si="45"/>
        <v>78.88147489127509</v>
      </c>
      <c r="K384" s="32">
        <f t="shared" si="45"/>
        <v>78.798178822152352</v>
      </c>
      <c r="L384" s="32">
        <f t="shared" si="44"/>
        <v>78.755809444271506</v>
      </c>
      <c r="M384" s="32">
        <f t="shared" si="42"/>
        <v>78.755809444271506</v>
      </c>
    </row>
    <row r="385" spans="2:13" x14ac:dyDescent="0.25">
      <c r="B385" s="31">
        <v>245</v>
      </c>
      <c r="C385" s="32">
        <f t="shared" si="46"/>
        <v>4.8999999999999835</v>
      </c>
      <c r="D385" s="35">
        <f t="shared" si="47"/>
        <v>80</v>
      </c>
      <c r="E385" s="32">
        <f t="shared" si="45"/>
        <v>79.774310530661452</v>
      </c>
      <c r="F385" s="32">
        <f t="shared" si="45"/>
        <v>79.556306573559453</v>
      </c>
      <c r="G385" s="32">
        <f t="shared" si="45"/>
        <v>79.353412198139267</v>
      </c>
      <c r="H385" s="32">
        <f t="shared" si="45"/>
        <v>79.172536416503888</v>
      </c>
      <c r="I385" s="32">
        <f t="shared" si="45"/>
        <v>79.019839113115353</v>
      </c>
      <c r="J385" s="32">
        <f t="shared" si="45"/>
        <v>78.900519821566576</v>
      </c>
      <c r="K385" s="32">
        <f t="shared" si="45"/>
        <v>78.818642167773305</v>
      </c>
      <c r="L385" s="32">
        <f t="shared" si="44"/>
        <v>78.776994133211929</v>
      </c>
      <c r="M385" s="32">
        <f t="shared" si="42"/>
        <v>78.776994133211929</v>
      </c>
    </row>
    <row r="386" spans="2:13" x14ac:dyDescent="0.25">
      <c r="B386" s="31">
        <v>246</v>
      </c>
      <c r="C386" s="32">
        <f t="shared" si="46"/>
        <v>4.9199999999999831</v>
      </c>
      <c r="D386" s="35">
        <f t="shared" si="47"/>
        <v>80</v>
      </c>
      <c r="E386" s="32">
        <f t="shared" si="45"/>
        <v>79.778153286779727</v>
      </c>
      <c r="F386" s="32">
        <f t="shared" si="45"/>
        <v>79.563861364400367</v>
      </c>
      <c r="G386" s="32">
        <f t="shared" si="45"/>
        <v>79.364421495031678</v>
      </c>
      <c r="H386" s="32">
        <f t="shared" si="45"/>
        <v>79.18662565562731</v>
      </c>
      <c r="I386" s="32">
        <f t="shared" si="45"/>
        <v>79.036528119035239</v>
      </c>
      <c r="J386" s="32">
        <f t="shared" si="45"/>
        <v>78.919240640444329</v>
      </c>
      <c r="K386" s="32">
        <f t="shared" si="45"/>
        <v>78.838756977389252</v>
      </c>
      <c r="L386" s="32">
        <f t="shared" si="44"/>
        <v>78.797818150492617</v>
      </c>
      <c r="M386" s="32">
        <f t="shared" si="42"/>
        <v>78.797818150492617</v>
      </c>
    </row>
    <row r="387" spans="2:13" x14ac:dyDescent="0.25">
      <c r="B387" s="31">
        <v>247</v>
      </c>
      <c r="C387" s="32">
        <f t="shared" si="46"/>
        <v>4.9399999999999826</v>
      </c>
      <c r="D387" s="35">
        <f t="shared" si="47"/>
        <v>80</v>
      </c>
      <c r="E387" s="32">
        <f t="shared" si="45"/>
        <v>79.781930682200183</v>
      </c>
      <c r="F387" s="32">
        <f t="shared" si="45"/>
        <v>79.571287390905695</v>
      </c>
      <c r="G387" s="32">
        <f t="shared" si="45"/>
        <v>79.375243510013831</v>
      </c>
      <c r="H387" s="32">
        <f t="shared" si="45"/>
        <v>79.200474807033459</v>
      </c>
      <c r="I387" s="32">
        <f t="shared" si="45"/>
        <v>79.052933148035819</v>
      </c>
      <c r="J387" s="32">
        <f t="shared" si="45"/>
        <v>78.937642548212239</v>
      </c>
      <c r="K387" s="32">
        <f t="shared" si="45"/>
        <v>78.85852939546848</v>
      </c>
      <c r="L387" s="32">
        <f t="shared" si="44"/>
        <v>78.818287563940942</v>
      </c>
      <c r="M387" s="32">
        <f t="shared" si="42"/>
        <v>78.818287563940942</v>
      </c>
    </row>
    <row r="388" spans="2:13" x14ac:dyDescent="0.25">
      <c r="B388" s="31">
        <v>248</v>
      </c>
      <c r="C388" s="32">
        <f t="shared" si="46"/>
        <v>4.9599999999999822</v>
      </c>
      <c r="D388" s="35">
        <f t="shared" si="47"/>
        <v>80</v>
      </c>
      <c r="E388" s="32">
        <f t="shared" si="45"/>
        <v>79.785643695452848</v>
      </c>
      <c r="F388" s="32">
        <f t="shared" si="45"/>
        <v>79.578587096107015</v>
      </c>
      <c r="G388" s="32">
        <f t="shared" si="45"/>
        <v>79.385881098969577</v>
      </c>
      <c r="H388" s="32">
        <f t="shared" si="45"/>
        <v>79.214088329024833</v>
      </c>
      <c r="I388" s="32">
        <f t="shared" si="45"/>
        <v>79.069058677622849</v>
      </c>
      <c r="J388" s="32">
        <f t="shared" si="45"/>
        <v>78.955731271752143</v>
      </c>
      <c r="K388" s="32">
        <f t="shared" si="45"/>
        <v>78.87796505607659</v>
      </c>
      <c r="L388" s="32">
        <f t="shared" si="44"/>
        <v>78.838408479704711</v>
      </c>
      <c r="M388" s="32">
        <f t="shared" si="42"/>
        <v>78.838408479704711</v>
      </c>
    </row>
    <row r="389" spans="2:13" x14ac:dyDescent="0.25">
      <c r="B389" s="31">
        <v>249</v>
      </c>
      <c r="C389" s="32">
        <f t="shared" si="46"/>
        <v>4.9799999999999818</v>
      </c>
      <c r="D389" s="35">
        <f t="shared" si="47"/>
        <v>80</v>
      </c>
      <c r="E389" s="32">
        <f t="shared" si="45"/>
        <v>79.789293548053507</v>
      </c>
      <c r="F389" s="32">
        <f t="shared" si="45"/>
        <v>79.585762397211212</v>
      </c>
      <c r="G389" s="32">
        <f t="shared" si="45"/>
        <v>79.396337712565924</v>
      </c>
      <c r="H389" s="32">
        <f t="shared" si="45"/>
        <v>79.227469888296213</v>
      </c>
      <c r="I389" s="32">
        <f t="shared" si="45"/>
        <v>79.084909800388488</v>
      </c>
      <c r="J389" s="32">
        <f t="shared" si="45"/>
        <v>78.973511866849719</v>
      </c>
      <c r="K389" s="32">
        <f t="shared" si="45"/>
        <v>78.89706987572842</v>
      </c>
      <c r="L389" s="32">
        <f t="shared" si="44"/>
        <v>78.858186767890658</v>
      </c>
      <c r="M389" s="32">
        <f t="shared" si="42"/>
        <v>78.858186767890658</v>
      </c>
    </row>
    <row r="390" spans="2:13" x14ac:dyDescent="0.25">
      <c r="B390" s="31">
        <v>250</v>
      </c>
      <c r="C390" s="32">
        <f t="shared" si="46"/>
        <v>4.9999999999999813</v>
      </c>
      <c r="D390" s="35">
        <f t="shared" si="47"/>
        <v>80</v>
      </c>
      <c r="E390" s="32">
        <f t="shared" si="45"/>
        <v>79.792881198605613</v>
      </c>
      <c r="F390" s="32">
        <f t="shared" si="45"/>
        <v>79.592815630309715</v>
      </c>
      <c r="G390" s="32">
        <f t="shared" si="45"/>
        <v>79.406616142753705</v>
      </c>
      <c r="H390" s="32">
        <f t="shared" si="45"/>
        <v>79.240623756477206</v>
      </c>
      <c r="I390" s="32">
        <f t="shared" si="45"/>
        <v>79.100490877572966</v>
      </c>
      <c r="J390" s="32">
        <f t="shared" si="45"/>
        <v>78.990989838058454</v>
      </c>
      <c r="K390" s="32">
        <f t="shared" si="45"/>
        <v>78.915849317370188</v>
      </c>
      <c r="L390" s="32">
        <f t="shared" si="44"/>
        <v>78.877628321809539</v>
      </c>
      <c r="M390" s="32">
        <f t="shared" si="42"/>
        <v>78.877628321809539</v>
      </c>
    </row>
    <row r="391" spans="2:13" x14ac:dyDescent="0.25">
      <c r="B391" s="31">
        <v>251</v>
      </c>
      <c r="C391" s="32">
        <f t="shared" si="46"/>
        <v>5.0199999999999809</v>
      </c>
      <c r="D391" s="35">
        <f t="shared" si="47"/>
        <v>80</v>
      </c>
      <c r="E391" s="32">
        <f t="shared" si="45"/>
        <v>79.796407815154851</v>
      </c>
      <c r="F391" s="32">
        <f t="shared" si="45"/>
        <v>79.599748670679659</v>
      </c>
      <c r="G391" s="32">
        <f t="shared" si="45"/>
        <v>79.41671969339346</v>
      </c>
      <c r="H391" s="32">
        <f t="shared" si="45"/>
        <v>79.253553510163329</v>
      </c>
      <c r="I391" s="32">
        <f t="shared" si="45"/>
        <v>79.115806797267823</v>
      </c>
      <c r="J391" s="32">
        <f t="shared" si="45"/>
        <v>79.008170097471577</v>
      </c>
      <c r="K391" s="32">
        <f t="shared" si="45"/>
        <v>78.934309079933996</v>
      </c>
      <c r="L391" s="32">
        <f t="shared" si="44"/>
        <v>78.896738819589871</v>
      </c>
      <c r="M391" s="32">
        <f t="shared" si="42"/>
        <v>78.896738819589871</v>
      </c>
    </row>
    <row r="392" spans="2:13" x14ac:dyDescent="0.25">
      <c r="B392" s="31">
        <v>252</v>
      </c>
      <c r="C392" s="32">
        <f t="shared" si="46"/>
        <v>5.0399999999999805</v>
      </c>
      <c r="D392" s="35">
        <f t="shared" si="47"/>
        <v>80</v>
      </c>
      <c r="E392" s="32">
        <f t="shared" si="45"/>
        <v>79.799874335339837</v>
      </c>
      <c r="F392" s="32">
        <f t="shared" si="45"/>
        <v>79.606563754274163</v>
      </c>
      <c r="G392" s="32">
        <f t="shared" si="45"/>
        <v>79.426651090421501</v>
      </c>
      <c r="H392" s="32">
        <f t="shared" si="45"/>
        <v>79.266263245330634</v>
      </c>
      <c r="I392" s="32">
        <f t="shared" si="45"/>
        <v>79.130861803817453</v>
      </c>
      <c r="J392" s="32">
        <f t="shared" si="45"/>
        <v>79.025057938600909</v>
      </c>
      <c r="K392" s="32">
        <f t="shared" si="45"/>
        <v>78.952454458530724</v>
      </c>
      <c r="L392" s="32">
        <f t="shared" si="44"/>
        <v>78.915523949761933</v>
      </c>
      <c r="M392" s="32">
        <f t="shared" si="42"/>
        <v>78.915523949761933</v>
      </c>
    </row>
    <row r="393" spans="2:13" x14ac:dyDescent="0.25">
      <c r="B393" s="31">
        <v>253</v>
      </c>
      <c r="C393" s="32">
        <f t="shared" si="46"/>
        <v>5.0599999999999801</v>
      </c>
      <c r="D393" s="35">
        <f t="shared" si="47"/>
        <v>80</v>
      </c>
      <c r="E393" s="32">
        <f t="shared" si="45"/>
        <v>79.803281877137081</v>
      </c>
      <c r="F393" s="32">
        <f t="shared" si="45"/>
        <v>79.613262712880669</v>
      </c>
      <c r="G393" s="32">
        <f t="shared" si="45"/>
        <v>79.436413499802399</v>
      </c>
      <c r="H393" s="32">
        <f t="shared" si="45"/>
        <v>79.278756447119477</v>
      </c>
      <c r="I393" s="32">
        <f t="shared" si="45"/>
        <v>79.145660591965765</v>
      </c>
      <c r="J393" s="32">
        <f t="shared" si="45"/>
        <v>79.041658131174088</v>
      </c>
      <c r="K393" s="32">
        <f t="shared" si="45"/>
        <v>78.970290944181414</v>
      </c>
      <c r="L393" s="32">
        <f t="shared" si="44"/>
        <v>78.933989204146329</v>
      </c>
      <c r="M393" s="32">
        <f t="shared" si="42"/>
        <v>78.933989204146329</v>
      </c>
    </row>
    <row r="394" spans="2:13" x14ac:dyDescent="0.25">
      <c r="B394" s="31">
        <v>254</v>
      </c>
      <c r="C394" s="32">
        <f t="shared" si="46"/>
        <v>5.0799999999999796</v>
      </c>
      <c r="D394" s="35">
        <f t="shared" si="47"/>
        <v>80</v>
      </c>
      <c r="E394" s="32">
        <f t="shared" si="45"/>
        <v>79.806631356440334</v>
      </c>
      <c r="F394" s="32">
        <f t="shared" si="45"/>
        <v>79.619847688469747</v>
      </c>
      <c r="G394" s="32">
        <f t="shared" si="45"/>
        <v>79.446009580000066</v>
      </c>
      <c r="H394" s="32">
        <f t="shared" si="45"/>
        <v>79.291037045884082</v>
      </c>
      <c r="I394" s="32">
        <f t="shared" si="45"/>
        <v>79.160207289146783</v>
      </c>
      <c r="J394" s="32">
        <f t="shared" si="45"/>
        <v>79.05797576807359</v>
      </c>
      <c r="K394" s="32">
        <f t="shared" si="45"/>
        <v>78.987823667660209</v>
      </c>
      <c r="L394" s="32">
        <f t="shared" si="44"/>
        <v>78.952140074163879</v>
      </c>
      <c r="M394" s="32">
        <f t="shared" si="42"/>
        <v>78.952140074163879</v>
      </c>
    </row>
    <row r="395" spans="2:13" x14ac:dyDescent="0.25">
      <c r="B395" s="31">
        <v>255</v>
      </c>
      <c r="C395" s="32">
        <f t="shared" si="46"/>
        <v>5.0999999999999792</v>
      </c>
      <c r="D395" s="35">
        <f t="shared" si="47"/>
        <v>80</v>
      </c>
      <c r="E395" s="32">
        <f t="shared" si="45"/>
        <v>79.809923844234874</v>
      </c>
      <c r="F395" s="32">
        <f t="shared" si="45"/>
        <v>79.6263204682202</v>
      </c>
      <c r="G395" s="32">
        <f t="shared" si="45"/>
        <v>79.455442367176914</v>
      </c>
      <c r="H395" s="32">
        <f t="shared" si="45"/>
        <v>79.303108434573431</v>
      </c>
      <c r="I395" s="32">
        <f t="shared" si="45"/>
        <v>79.174506406978836</v>
      </c>
      <c r="J395" s="32">
        <f t="shared" si="45"/>
        <v>79.074015478403496</v>
      </c>
      <c r="K395" s="32">
        <f t="shared" si="45"/>
        <v>79.005057921118734</v>
      </c>
      <c r="L395" s="32">
        <f t="shared" si="44"/>
        <v>78.969981870912051</v>
      </c>
      <c r="M395" s="32">
        <f t="shared" si="42"/>
        <v>78.969981870912051</v>
      </c>
    </row>
    <row r="396" spans="2:13" x14ac:dyDescent="0.25">
      <c r="B396" s="31">
        <v>256</v>
      </c>
      <c r="C396" s="32">
        <f t="shared" si="46"/>
        <v>5.1199999999999788</v>
      </c>
      <c r="D396" s="35">
        <f t="shared" si="47"/>
        <v>80</v>
      </c>
      <c r="E396" s="32">
        <f t="shared" si="45"/>
        <v>79.8131602341101</v>
      </c>
      <c r="F396" s="32">
        <f t="shared" si="45"/>
        <v>79.632683105705894</v>
      </c>
      <c r="G396" s="32">
        <f t="shared" si="45"/>
        <v>79.464714451396816</v>
      </c>
      <c r="H396" s="32">
        <f t="shared" si="45"/>
        <v>79.314974387077882</v>
      </c>
      <c r="I396" s="32">
        <f t="shared" si="45"/>
        <v>79.188561956488456</v>
      </c>
      <c r="J396" s="32">
        <f t="shared" si="45"/>
        <v>79.089782164048785</v>
      </c>
      <c r="K396" s="32">
        <f t="shared" si="45"/>
        <v>79.021998674657766</v>
      </c>
      <c r="L396" s="32">
        <f t="shared" si="44"/>
        <v>78.987519896015385</v>
      </c>
      <c r="M396" s="32">
        <f t="shared" si="42"/>
        <v>78.987519896015385</v>
      </c>
    </row>
    <row r="397" spans="2:13" x14ac:dyDescent="0.25">
      <c r="B397" s="31">
        <v>257</v>
      </c>
      <c r="C397" s="32">
        <f t="shared" si="46"/>
        <v>5.1399999999999784</v>
      </c>
      <c r="D397" s="35">
        <f t="shared" si="47"/>
        <v>80</v>
      </c>
      <c r="E397" s="32">
        <f t="shared" si="45"/>
        <v>79.816341552852947</v>
      </c>
      <c r="F397" s="32">
        <f t="shared" si="45"/>
        <v>79.638937342753451</v>
      </c>
      <c r="G397" s="32">
        <f t="shared" si="45"/>
        <v>79.473828746391888</v>
      </c>
      <c r="H397" s="32">
        <f t="shared" si="45"/>
        <v>79.326638203942636</v>
      </c>
      <c r="I397" s="32">
        <f t="shared" si="45"/>
        <v>79.202378275563333</v>
      </c>
      <c r="J397" s="32">
        <f t="shared" si="45"/>
        <v>79.105280315573111</v>
      </c>
      <c r="K397" s="32">
        <f t="shared" si="45"/>
        <v>79.038651030032085</v>
      </c>
      <c r="L397" s="32">
        <f t="shared" si="44"/>
        <v>79.004759285336576</v>
      </c>
      <c r="M397" s="32">
        <f t="shared" ref="M397:M460" si="48">L397</f>
        <v>79.004759285336576</v>
      </c>
    </row>
    <row r="398" spans="2:13" x14ac:dyDescent="0.25">
      <c r="B398" s="31">
        <v>258</v>
      </c>
      <c r="C398" s="32">
        <f t="shared" si="46"/>
        <v>5.1599999999999779</v>
      </c>
      <c r="D398" s="35">
        <f t="shared" si="47"/>
        <v>80</v>
      </c>
      <c r="E398" s="32">
        <f t="shared" si="45"/>
        <v>79.819468671376725</v>
      </c>
      <c r="F398" s="32">
        <f t="shared" si="45"/>
        <v>79.645085149622417</v>
      </c>
      <c r="G398" s="32">
        <f t="shared" si="45"/>
        <v>79.482787773348036</v>
      </c>
      <c r="H398" s="32">
        <f t="shared" si="45"/>
        <v>79.338103510977618</v>
      </c>
      <c r="I398" s="32">
        <f t="shared" si="45"/>
        <v>79.215959259757881</v>
      </c>
      <c r="J398" s="32">
        <f t="shared" si="45"/>
        <v>79.120514652797709</v>
      </c>
      <c r="K398" s="32">
        <f t="shared" si="45"/>
        <v>79.055019800454843</v>
      </c>
      <c r="L398" s="32">
        <f t="shared" ref="L398:L461" si="49">(K397+M397)/2</f>
        <v>79.021705157684323</v>
      </c>
      <c r="M398" s="32">
        <f t="shared" si="48"/>
        <v>79.021705157684323</v>
      </c>
    </row>
    <row r="399" spans="2:13" x14ac:dyDescent="0.25">
      <c r="B399" s="31">
        <v>259</v>
      </c>
      <c r="C399" s="32">
        <f t="shared" si="46"/>
        <v>5.1799999999999775</v>
      </c>
      <c r="D399" s="35">
        <f t="shared" si="47"/>
        <v>80</v>
      </c>
      <c r="E399" s="32">
        <f t="shared" si="45"/>
        <v>79.822542574811209</v>
      </c>
      <c r="F399" s="32">
        <f t="shared" si="45"/>
        <v>79.651128222362388</v>
      </c>
      <c r="G399" s="32">
        <f t="shared" si="45"/>
        <v>79.491594330300018</v>
      </c>
      <c r="H399" s="32">
        <f t="shared" si="45"/>
        <v>79.349373516552959</v>
      </c>
      <c r="I399" s="32">
        <f t="shared" si="45"/>
        <v>79.229309081887664</v>
      </c>
      <c r="J399" s="32">
        <f t="shared" si="45"/>
        <v>79.135489530106355</v>
      </c>
      <c r="K399" s="32">
        <f t="shared" si="45"/>
        <v>79.071109905241016</v>
      </c>
      <c r="L399" s="32">
        <f t="shared" si="49"/>
        <v>79.038362479069576</v>
      </c>
      <c r="M399" s="32">
        <f t="shared" si="48"/>
        <v>79.038362479069576</v>
      </c>
    </row>
    <row r="400" spans="2:13" x14ac:dyDescent="0.25">
      <c r="B400" s="31">
        <v>260</v>
      </c>
      <c r="C400" s="32">
        <f t="shared" si="46"/>
        <v>5.1999999999999771</v>
      </c>
      <c r="D400" s="35">
        <f t="shared" si="47"/>
        <v>80</v>
      </c>
      <c r="E400" s="32">
        <f t="shared" si="45"/>
        <v>79.825564111181194</v>
      </c>
      <c r="F400" s="32">
        <f t="shared" si="45"/>
        <v>79.65706845255562</v>
      </c>
      <c r="G400" s="32">
        <f t="shared" si="45"/>
        <v>79.500250869457673</v>
      </c>
      <c r="H400" s="32">
        <f t="shared" si="45"/>
        <v>79.360451706093841</v>
      </c>
      <c r="I400" s="32">
        <f t="shared" si="45"/>
        <v>79.242431523329657</v>
      </c>
      <c r="J400" s="32">
        <f t="shared" si="45"/>
        <v>79.150209493564347</v>
      </c>
      <c r="K400" s="32">
        <f t="shared" si="45"/>
        <v>79.086926004587966</v>
      </c>
      <c r="L400" s="32">
        <f t="shared" si="49"/>
        <v>79.054736192155303</v>
      </c>
      <c r="M400" s="32">
        <f t="shared" si="48"/>
        <v>79.054736192155303</v>
      </c>
    </row>
    <row r="401" spans="2:13" x14ac:dyDescent="0.25">
      <c r="B401" s="31">
        <v>261</v>
      </c>
      <c r="C401" s="32">
        <f t="shared" si="46"/>
        <v>5.2199999999999767</v>
      </c>
      <c r="D401" s="35">
        <f t="shared" si="47"/>
        <v>80</v>
      </c>
      <c r="E401" s="32">
        <f t="shared" si="45"/>
        <v>79.82853422627781</v>
      </c>
      <c r="F401" s="32">
        <f t="shared" si="45"/>
        <v>79.662907490319441</v>
      </c>
      <c r="G401" s="32">
        <f t="shared" si="45"/>
        <v>79.50876007932473</v>
      </c>
      <c r="H401" s="32">
        <f t="shared" si="45"/>
        <v>79.371341196393672</v>
      </c>
      <c r="I401" s="32">
        <f t="shared" si="45"/>
        <v>79.255330599829094</v>
      </c>
      <c r="J401" s="32">
        <f t="shared" si="45"/>
        <v>79.164678763958818</v>
      </c>
      <c r="K401" s="32">
        <f t="shared" si="45"/>
        <v>79.102472842859825</v>
      </c>
      <c r="L401" s="32">
        <f t="shared" si="49"/>
        <v>79.070831098371627</v>
      </c>
      <c r="M401" s="32">
        <f t="shared" si="48"/>
        <v>79.070831098371627</v>
      </c>
    </row>
    <row r="402" spans="2:13" x14ac:dyDescent="0.25">
      <c r="B402" s="31">
        <v>262</v>
      </c>
      <c r="C402" s="32">
        <f t="shared" si="46"/>
        <v>5.2399999999999762</v>
      </c>
      <c r="D402" s="35">
        <f t="shared" si="47"/>
        <v>80</v>
      </c>
      <c r="E402" s="32">
        <f t="shared" si="45"/>
        <v>79.83145374515972</v>
      </c>
      <c r="F402" s="32">
        <f t="shared" si="45"/>
        <v>79.66864715280127</v>
      </c>
      <c r="G402" s="32">
        <f t="shared" si="45"/>
        <v>79.517124343356556</v>
      </c>
      <c r="H402" s="32">
        <f t="shared" si="45"/>
        <v>79.382045339576905</v>
      </c>
      <c r="I402" s="32">
        <f t="shared" si="45"/>
        <v>79.268009980176245</v>
      </c>
      <c r="J402" s="32">
        <f t="shared" si="45"/>
        <v>79.178901721344459</v>
      </c>
      <c r="K402" s="32">
        <f t="shared" si="45"/>
        <v>79.117754931165223</v>
      </c>
      <c r="L402" s="32">
        <f t="shared" si="49"/>
        <v>79.086651970615719</v>
      </c>
      <c r="M402" s="32">
        <f t="shared" si="48"/>
        <v>79.086651970615719</v>
      </c>
    </row>
    <row r="403" spans="2:13" x14ac:dyDescent="0.25">
      <c r="B403" s="31">
        <v>263</v>
      </c>
      <c r="C403" s="32">
        <f t="shared" si="46"/>
        <v>5.2599999999999758</v>
      </c>
      <c r="D403" s="35">
        <f t="shared" si="47"/>
        <v>80</v>
      </c>
      <c r="E403" s="32">
        <f t="shared" si="45"/>
        <v>79.834323576400635</v>
      </c>
      <c r="F403" s="32">
        <f t="shared" si="45"/>
        <v>79.674289044258131</v>
      </c>
      <c r="G403" s="32">
        <f t="shared" si="45"/>
        <v>79.525346246189088</v>
      </c>
      <c r="H403" s="32">
        <f t="shared" si="45"/>
        <v>79.392567161766408</v>
      </c>
      <c r="I403" s="32">
        <f t="shared" si="45"/>
        <v>79.280473530460682</v>
      </c>
      <c r="J403" s="32">
        <f t="shared" si="45"/>
        <v>79.192882455670741</v>
      </c>
      <c r="K403" s="32">
        <f t="shared" si="45"/>
        <v>79.132776845980089</v>
      </c>
      <c r="L403" s="32">
        <f t="shared" si="49"/>
        <v>79.102203450890471</v>
      </c>
      <c r="M403" s="32">
        <f t="shared" si="48"/>
        <v>79.102203450890471</v>
      </c>
    </row>
    <row r="404" spans="2:13" x14ac:dyDescent="0.25">
      <c r="B404" s="31">
        <v>264</v>
      </c>
      <c r="C404" s="32">
        <f t="shared" si="46"/>
        <v>5.2799999999999754</v>
      </c>
      <c r="D404" s="35">
        <f t="shared" si="47"/>
        <v>80</v>
      </c>
      <c r="E404" s="32">
        <f t="shared" si="45"/>
        <v>79.837144522129066</v>
      </c>
      <c r="F404" s="32">
        <f t="shared" si="45"/>
        <v>79.679834911294861</v>
      </c>
      <c r="G404" s="32">
        <f t="shared" si="45"/>
        <v>79.53342810301227</v>
      </c>
      <c r="H404" s="32">
        <f t="shared" si="45"/>
        <v>79.402909888324885</v>
      </c>
      <c r="I404" s="32">
        <f t="shared" si="45"/>
        <v>79.292724808718575</v>
      </c>
      <c r="J404" s="32">
        <f t="shared" si="45"/>
        <v>79.206625188220386</v>
      </c>
      <c r="K404" s="32">
        <f t="shared" si="45"/>
        <v>79.147542953280606</v>
      </c>
      <c r="L404" s="32">
        <f t="shared" si="49"/>
        <v>79.11749014843528</v>
      </c>
      <c r="M404" s="32">
        <f t="shared" si="48"/>
        <v>79.11749014843528</v>
      </c>
    </row>
    <row r="405" spans="2:13" x14ac:dyDescent="0.25">
      <c r="B405" s="31">
        <v>265</v>
      </c>
      <c r="C405" s="32">
        <f t="shared" si="46"/>
        <v>5.299999999999975</v>
      </c>
      <c r="D405" s="35">
        <f t="shared" si="47"/>
        <v>80</v>
      </c>
      <c r="E405" s="32">
        <f t="shared" si="45"/>
        <v>79.839917455647424</v>
      </c>
      <c r="F405" s="32">
        <f t="shared" si="45"/>
        <v>79.685286312570668</v>
      </c>
      <c r="G405" s="32">
        <f t="shared" si="45"/>
        <v>79.541372399809873</v>
      </c>
      <c r="H405" s="32">
        <f t="shared" si="45"/>
        <v>79.413076455865422</v>
      </c>
      <c r="I405" s="32">
        <f t="shared" si="45"/>
        <v>79.304767538272642</v>
      </c>
      <c r="J405" s="32">
        <f t="shared" si="45"/>
        <v>79.220133880999583</v>
      </c>
      <c r="K405" s="32">
        <f t="shared" si="45"/>
        <v>79.162057668327833</v>
      </c>
      <c r="L405" s="32">
        <f t="shared" si="49"/>
        <v>79.132516550857943</v>
      </c>
      <c r="M405" s="32">
        <f t="shared" si="48"/>
        <v>79.132516550857943</v>
      </c>
    </row>
    <row r="406" spans="2:13" x14ac:dyDescent="0.25">
      <c r="B406" s="31">
        <v>266</v>
      </c>
      <c r="C406" s="32">
        <f t="shared" si="46"/>
        <v>5.3199999999999745</v>
      </c>
      <c r="D406" s="35">
        <f t="shared" si="47"/>
        <v>80</v>
      </c>
      <c r="E406" s="32">
        <f t="shared" si="45"/>
        <v>79.842643156285334</v>
      </c>
      <c r="F406" s="32">
        <f t="shared" si="45"/>
        <v>79.690644927728641</v>
      </c>
      <c r="G406" s="32">
        <f t="shared" si="45"/>
        <v>79.549181384218045</v>
      </c>
      <c r="H406" s="32">
        <f t="shared" si="45"/>
        <v>79.423069969041251</v>
      </c>
      <c r="I406" s="32">
        <f t="shared" si="45"/>
        <v>79.316605168432503</v>
      </c>
      <c r="J406" s="32">
        <f t="shared" si="45"/>
        <v>79.233412603300238</v>
      </c>
      <c r="K406" s="32">
        <f t="shared" ref="E406:K443" si="50">(J405+L405)/2</f>
        <v>79.176325215928756</v>
      </c>
      <c r="L406" s="32">
        <f t="shared" si="49"/>
        <v>79.147287109592895</v>
      </c>
      <c r="M406" s="32">
        <f t="shared" si="48"/>
        <v>79.147287109592895</v>
      </c>
    </row>
    <row r="407" spans="2:13" x14ac:dyDescent="0.25">
      <c r="B407" s="31">
        <v>267</v>
      </c>
      <c r="C407" s="32">
        <f t="shared" si="46"/>
        <v>5.3399999999999741</v>
      </c>
      <c r="D407" s="35">
        <f t="shared" si="47"/>
        <v>80</v>
      </c>
      <c r="E407" s="32">
        <f t="shared" si="50"/>
        <v>79.845322463864321</v>
      </c>
      <c r="F407" s="32">
        <f t="shared" si="50"/>
        <v>79.695912270251682</v>
      </c>
      <c r="G407" s="32">
        <f t="shared" si="50"/>
        <v>79.556857448384946</v>
      </c>
      <c r="H407" s="32">
        <f t="shared" si="50"/>
        <v>79.432893276325274</v>
      </c>
      <c r="I407" s="32">
        <f t="shared" si="50"/>
        <v>79.328241286170737</v>
      </c>
      <c r="J407" s="32">
        <f t="shared" si="50"/>
        <v>79.246465192180636</v>
      </c>
      <c r="K407" s="32">
        <f t="shared" si="50"/>
        <v>79.190349856446574</v>
      </c>
      <c r="L407" s="32">
        <f t="shared" si="49"/>
        <v>79.161806162760826</v>
      </c>
      <c r="M407" s="32">
        <f t="shared" si="48"/>
        <v>79.161806162760826</v>
      </c>
    </row>
    <row r="408" spans="2:13" x14ac:dyDescent="0.25">
      <c r="B408" s="31">
        <v>268</v>
      </c>
      <c r="C408" s="32">
        <f t="shared" si="46"/>
        <v>5.3599999999999737</v>
      </c>
      <c r="D408" s="35">
        <f t="shared" si="47"/>
        <v>80</v>
      </c>
      <c r="E408" s="32">
        <f t="shared" si="50"/>
        <v>79.847956135125841</v>
      </c>
      <c r="F408" s="32">
        <f t="shared" si="50"/>
        <v>79.701089956124633</v>
      </c>
      <c r="G408" s="32">
        <f t="shared" si="50"/>
        <v>79.564402773288478</v>
      </c>
      <c r="H408" s="32">
        <f t="shared" si="50"/>
        <v>79.442549367277849</v>
      </c>
      <c r="I408" s="32">
        <f t="shared" si="50"/>
        <v>79.339679234252955</v>
      </c>
      <c r="J408" s="32">
        <f t="shared" si="50"/>
        <v>79.259295571308655</v>
      </c>
      <c r="K408" s="32">
        <f t="shared" si="50"/>
        <v>79.204135677470731</v>
      </c>
      <c r="L408" s="32">
        <f t="shared" si="49"/>
        <v>79.1760780096037</v>
      </c>
      <c r="M408" s="32">
        <f t="shared" si="48"/>
        <v>79.1760780096037</v>
      </c>
    </row>
    <row r="409" spans="2:13" x14ac:dyDescent="0.25">
      <c r="B409" s="31">
        <v>269</v>
      </c>
      <c r="C409" s="32">
        <f t="shared" si="46"/>
        <v>5.3799999999999732</v>
      </c>
      <c r="D409" s="35">
        <f t="shared" si="47"/>
        <v>80</v>
      </c>
      <c r="E409" s="32">
        <f t="shared" si="50"/>
        <v>79.850544978062317</v>
      </c>
      <c r="F409" s="32">
        <f t="shared" si="50"/>
        <v>79.70617945420716</v>
      </c>
      <c r="G409" s="32">
        <f t="shared" si="50"/>
        <v>79.571819661701241</v>
      </c>
      <c r="H409" s="32">
        <f t="shared" si="50"/>
        <v>79.452041003770717</v>
      </c>
      <c r="I409" s="32">
        <f t="shared" si="50"/>
        <v>79.350922469293252</v>
      </c>
      <c r="J409" s="32">
        <f t="shared" si="50"/>
        <v>79.27190745586185</v>
      </c>
      <c r="K409" s="32">
        <f t="shared" si="50"/>
        <v>79.217686790456185</v>
      </c>
      <c r="L409" s="32">
        <f t="shared" si="49"/>
        <v>79.190106843537222</v>
      </c>
      <c r="M409" s="32">
        <f t="shared" si="48"/>
        <v>79.190106843537222</v>
      </c>
    </row>
    <row r="410" spans="2:13" x14ac:dyDescent="0.25">
      <c r="B410" s="31">
        <v>270</v>
      </c>
      <c r="C410" s="32">
        <f t="shared" si="46"/>
        <v>5.3999999999999728</v>
      </c>
      <c r="D410" s="35">
        <f t="shared" si="47"/>
        <v>80</v>
      </c>
      <c r="E410" s="32">
        <f t="shared" si="50"/>
        <v>79.85308972710358</v>
      </c>
      <c r="F410" s="32">
        <f t="shared" si="50"/>
        <v>79.711182319881772</v>
      </c>
      <c r="G410" s="32">
        <f t="shared" si="50"/>
        <v>79.579110228988938</v>
      </c>
      <c r="H410" s="32">
        <f t="shared" si="50"/>
        <v>79.461371065497246</v>
      </c>
      <c r="I410" s="32">
        <f t="shared" si="50"/>
        <v>79.361974229816283</v>
      </c>
      <c r="J410" s="32">
        <f t="shared" si="50"/>
        <v>79.284304629874725</v>
      </c>
      <c r="K410" s="32">
        <f t="shared" si="50"/>
        <v>79.231007149699536</v>
      </c>
      <c r="L410" s="32">
        <f t="shared" si="49"/>
        <v>79.203896816996703</v>
      </c>
      <c r="M410" s="32">
        <f t="shared" si="48"/>
        <v>79.203896816996703</v>
      </c>
    </row>
    <row r="411" spans="2:13" x14ac:dyDescent="0.25">
      <c r="B411" s="31">
        <v>271</v>
      </c>
      <c r="C411" s="32">
        <f t="shared" si="46"/>
        <v>5.4199999999999724</v>
      </c>
      <c r="D411" s="35">
        <f t="shared" si="47"/>
        <v>80</v>
      </c>
      <c r="E411" s="32">
        <f t="shared" si="50"/>
        <v>79.855591159940886</v>
      </c>
      <c r="F411" s="32">
        <f t="shared" si="50"/>
        <v>79.716099978046259</v>
      </c>
      <c r="G411" s="32">
        <f t="shared" si="50"/>
        <v>79.586276692689509</v>
      </c>
      <c r="H411" s="32">
        <f t="shared" si="50"/>
        <v>79.470542229402611</v>
      </c>
      <c r="I411" s="32">
        <f t="shared" si="50"/>
        <v>79.372837847685986</v>
      </c>
      <c r="J411" s="32">
        <f t="shared" si="50"/>
        <v>79.296490689757917</v>
      </c>
      <c r="K411" s="32">
        <f t="shared" si="50"/>
        <v>79.244100723435707</v>
      </c>
      <c r="L411" s="32">
        <f t="shared" si="49"/>
        <v>79.217451983348127</v>
      </c>
      <c r="M411" s="32">
        <f t="shared" si="48"/>
        <v>79.217451983348127</v>
      </c>
    </row>
    <row r="412" spans="2:13" x14ac:dyDescent="0.25">
      <c r="B412" s="31">
        <v>272</v>
      </c>
      <c r="C412" s="32">
        <f t="shared" si="46"/>
        <v>5.439999999999972</v>
      </c>
      <c r="D412" s="35">
        <f t="shared" si="47"/>
        <v>80</v>
      </c>
      <c r="E412" s="32">
        <f t="shared" si="50"/>
        <v>79.858049989023129</v>
      </c>
      <c r="F412" s="32">
        <f t="shared" si="50"/>
        <v>79.720933926315197</v>
      </c>
      <c r="G412" s="32">
        <f t="shared" si="50"/>
        <v>79.593321103724435</v>
      </c>
      <c r="H412" s="32">
        <f t="shared" si="50"/>
        <v>79.47955727018774</v>
      </c>
      <c r="I412" s="32">
        <f t="shared" si="50"/>
        <v>79.383516459580264</v>
      </c>
      <c r="J412" s="32">
        <f t="shared" si="50"/>
        <v>79.308469285560847</v>
      </c>
      <c r="K412" s="32">
        <f t="shared" si="50"/>
        <v>79.256971336553022</v>
      </c>
      <c r="L412" s="32">
        <f t="shared" si="49"/>
        <v>79.230776353391917</v>
      </c>
      <c r="M412" s="32">
        <f t="shared" si="48"/>
        <v>79.230776353391917</v>
      </c>
    </row>
    <row r="413" spans="2:13" x14ac:dyDescent="0.25">
      <c r="B413" s="31">
        <v>273</v>
      </c>
      <c r="C413" s="32">
        <f t="shared" si="46"/>
        <v>5.4599999999999715</v>
      </c>
      <c r="D413" s="35">
        <f t="shared" si="47"/>
        <v>80</v>
      </c>
      <c r="E413" s="32">
        <f t="shared" si="50"/>
        <v>79.860466963157592</v>
      </c>
      <c r="F413" s="32">
        <f t="shared" si="50"/>
        <v>79.725685546373782</v>
      </c>
      <c r="G413" s="32">
        <f t="shared" si="50"/>
        <v>79.600245598251462</v>
      </c>
      <c r="H413" s="32">
        <f t="shared" si="50"/>
        <v>79.488418781652342</v>
      </c>
      <c r="I413" s="32">
        <f t="shared" si="50"/>
        <v>79.394013277874294</v>
      </c>
      <c r="J413" s="32">
        <f t="shared" si="50"/>
        <v>79.32024389806665</v>
      </c>
      <c r="K413" s="32">
        <f t="shared" si="50"/>
        <v>79.269622819476382</v>
      </c>
      <c r="L413" s="32">
        <f t="shared" si="49"/>
        <v>79.24387384497247</v>
      </c>
      <c r="M413" s="32">
        <f t="shared" si="48"/>
        <v>79.24387384497247</v>
      </c>
    </row>
    <row r="414" spans="2:13" x14ac:dyDescent="0.25">
      <c r="B414" s="31">
        <v>274</v>
      </c>
      <c r="C414" s="32">
        <f t="shared" si="46"/>
        <v>5.4799999999999711</v>
      </c>
      <c r="D414" s="35">
        <f t="shared" si="47"/>
        <v>80</v>
      </c>
      <c r="E414" s="32">
        <f t="shared" si="50"/>
        <v>79.862842773186884</v>
      </c>
      <c r="F414" s="32">
        <f t="shared" si="50"/>
        <v>79.730356280704527</v>
      </c>
      <c r="G414" s="32">
        <f t="shared" si="50"/>
        <v>79.607052164013055</v>
      </c>
      <c r="H414" s="32">
        <f t="shared" si="50"/>
        <v>79.497129438062871</v>
      </c>
      <c r="I414" s="32">
        <f t="shared" si="50"/>
        <v>79.404331339859496</v>
      </c>
      <c r="J414" s="32">
        <f t="shared" si="50"/>
        <v>79.331818048675331</v>
      </c>
      <c r="K414" s="32">
        <f t="shared" si="50"/>
        <v>79.282058871519553</v>
      </c>
      <c r="L414" s="32">
        <f t="shared" si="49"/>
        <v>79.256748332224419</v>
      </c>
      <c r="M414" s="32">
        <f t="shared" si="48"/>
        <v>79.256748332224419</v>
      </c>
    </row>
    <row r="415" spans="2:13" x14ac:dyDescent="0.25">
      <c r="B415" s="31">
        <v>275</v>
      </c>
      <c r="C415" s="32">
        <f t="shared" si="46"/>
        <v>5.4999999999999707</v>
      </c>
      <c r="D415" s="35">
        <f t="shared" si="47"/>
        <v>80</v>
      </c>
      <c r="E415" s="32">
        <f t="shared" si="50"/>
        <v>79.86517814035227</v>
      </c>
      <c r="F415" s="32">
        <f t="shared" si="50"/>
        <v>79.73494746859997</v>
      </c>
      <c r="G415" s="32">
        <f t="shared" si="50"/>
        <v>79.613742859383706</v>
      </c>
      <c r="H415" s="32">
        <f t="shared" si="50"/>
        <v>79.505691751936268</v>
      </c>
      <c r="I415" s="32">
        <f t="shared" si="50"/>
        <v>79.414473743369101</v>
      </c>
      <c r="J415" s="32">
        <f t="shared" si="50"/>
        <v>79.343195105689517</v>
      </c>
      <c r="K415" s="32">
        <f t="shared" si="50"/>
        <v>79.294283190449875</v>
      </c>
      <c r="L415" s="32">
        <f t="shared" si="49"/>
        <v>79.269403601871986</v>
      </c>
      <c r="M415" s="32">
        <f t="shared" si="48"/>
        <v>79.269403601871986</v>
      </c>
    </row>
    <row r="416" spans="2:13" x14ac:dyDescent="0.25">
      <c r="B416" s="31">
        <v>276</v>
      </c>
      <c r="C416" s="32">
        <f t="shared" si="46"/>
        <v>5.5199999999999703</v>
      </c>
      <c r="D416" s="35">
        <f t="shared" si="47"/>
        <v>80</v>
      </c>
      <c r="E416" s="32">
        <f t="shared" si="50"/>
        <v>79.867473734299978</v>
      </c>
      <c r="F416" s="32">
        <f t="shared" si="50"/>
        <v>79.739460499867988</v>
      </c>
      <c r="G416" s="32">
        <f t="shared" si="50"/>
        <v>79.620319610268126</v>
      </c>
      <c r="H416" s="32">
        <f t="shared" si="50"/>
        <v>79.51410830137641</v>
      </c>
      <c r="I416" s="32">
        <f t="shared" si="50"/>
        <v>79.424443428812893</v>
      </c>
      <c r="J416" s="32">
        <f t="shared" si="50"/>
        <v>79.35437846690948</v>
      </c>
      <c r="K416" s="32">
        <f t="shared" si="50"/>
        <v>79.306299353780759</v>
      </c>
      <c r="L416" s="32">
        <f t="shared" si="49"/>
        <v>79.281843396160923</v>
      </c>
      <c r="M416" s="32">
        <f t="shared" si="48"/>
        <v>79.281843396160923</v>
      </c>
    </row>
    <row r="417" spans="2:13" x14ac:dyDescent="0.25">
      <c r="B417" s="31">
        <v>277</v>
      </c>
      <c r="C417" s="32">
        <f t="shared" si="46"/>
        <v>5.5399999999999698</v>
      </c>
      <c r="D417" s="35">
        <f t="shared" si="47"/>
        <v>80</v>
      </c>
      <c r="E417" s="32">
        <f t="shared" si="50"/>
        <v>79.869730249933994</v>
      </c>
      <c r="F417" s="32">
        <f t="shared" si="50"/>
        <v>79.743896672284052</v>
      </c>
      <c r="G417" s="32">
        <f t="shared" si="50"/>
        <v>79.626784400622199</v>
      </c>
      <c r="H417" s="32">
        <f t="shared" si="50"/>
        <v>79.522381519540517</v>
      </c>
      <c r="I417" s="32">
        <f t="shared" si="50"/>
        <v>79.434243384142945</v>
      </c>
      <c r="J417" s="32">
        <f t="shared" si="50"/>
        <v>79.365371391296833</v>
      </c>
      <c r="K417" s="32">
        <f t="shared" si="50"/>
        <v>79.318110931535202</v>
      </c>
      <c r="L417" s="32">
        <f t="shared" si="49"/>
        <v>79.294071374970841</v>
      </c>
      <c r="M417" s="32">
        <f t="shared" si="48"/>
        <v>79.294071374970841</v>
      </c>
    </row>
    <row r="418" spans="2:13" x14ac:dyDescent="0.25">
      <c r="B418" s="31">
        <v>278</v>
      </c>
      <c r="C418" s="32">
        <f t="shared" si="46"/>
        <v>5.5599999999999694</v>
      </c>
      <c r="D418" s="35">
        <f t="shared" si="47"/>
        <v>80</v>
      </c>
      <c r="E418" s="32">
        <f t="shared" si="50"/>
        <v>79.871948336142026</v>
      </c>
      <c r="F418" s="32">
        <f t="shared" si="50"/>
        <v>79.748257325278104</v>
      </c>
      <c r="G418" s="32">
        <f t="shared" si="50"/>
        <v>79.633139095912284</v>
      </c>
      <c r="H418" s="32">
        <f t="shared" si="50"/>
        <v>79.530513892382572</v>
      </c>
      <c r="I418" s="32">
        <f t="shared" si="50"/>
        <v>79.443876455418675</v>
      </c>
      <c r="J418" s="32">
        <f t="shared" si="50"/>
        <v>79.376177157839066</v>
      </c>
      <c r="K418" s="32">
        <f t="shared" si="50"/>
        <v>79.32972138313383</v>
      </c>
      <c r="L418" s="32">
        <f t="shared" si="49"/>
        <v>79.306091153253021</v>
      </c>
      <c r="M418" s="32">
        <f t="shared" si="48"/>
        <v>79.306091153253021</v>
      </c>
    </row>
    <row r="419" spans="2:13" x14ac:dyDescent="0.25">
      <c r="B419" s="31">
        <v>279</v>
      </c>
      <c r="C419" s="32">
        <f t="shared" si="46"/>
        <v>5.579999999999969</v>
      </c>
      <c r="D419" s="35">
        <f t="shared" si="47"/>
        <v>80</v>
      </c>
      <c r="E419" s="32">
        <f t="shared" si="50"/>
        <v>79.874128662639052</v>
      </c>
      <c r="F419" s="32">
        <f t="shared" si="50"/>
        <v>79.752543716027162</v>
      </c>
      <c r="G419" s="32">
        <f t="shared" si="50"/>
        <v>79.639385608830338</v>
      </c>
      <c r="H419" s="32">
        <f t="shared" si="50"/>
        <v>79.538507775665479</v>
      </c>
      <c r="I419" s="32">
        <f t="shared" si="50"/>
        <v>79.453345525110819</v>
      </c>
      <c r="J419" s="32">
        <f t="shared" si="50"/>
        <v>79.386798919276259</v>
      </c>
      <c r="K419" s="32">
        <f t="shared" si="50"/>
        <v>79.341134155546044</v>
      </c>
      <c r="L419" s="32">
        <f t="shared" si="49"/>
        <v>79.317906268193425</v>
      </c>
      <c r="M419" s="32">
        <f t="shared" si="48"/>
        <v>79.317906268193425</v>
      </c>
    </row>
    <row r="420" spans="2:13" x14ac:dyDescent="0.25">
      <c r="B420" s="31">
        <v>280</v>
      </c>
      <c r="C420" s="32">
        <f t="shared" si="46"/>
        <v>5.5999999999999686</v>
      </c>
      <c r="D420" s="35">
        <f t="shared" si="47"/>
        <v>80</v>
      </c>
      <c r="E420" s="32">
        <f t="shared" si="50"/>
        <v>79.876271858013581</v>
      </c>
      <c r="F420" s="32">
        <f t="shared" si="50"/>
        <v>79.756757135734688</v>
      </c>
      <c r="G420" s="32">
        <f t="shared" si="50"/>
        <v>79.645525745846328</v>
      </c>
      <c r="H420" s="32">
        <f t="shared" si="50"/>
        <v>79.546365566970579</v>
      </c>
      <c r="I420" s="32">
        <f t="shared" si="50"/>
        <v>79.462653347470876</v>
      </c>
      <c r="J420" s="32">
        <f t="shared" si="50"/>
        <v>79.397239840328439</v>
      </c>
      <c r="K420" s="32">
        <f t="shared" si="50"/>
        <v>79.35235259373485</v>
      </c>
      <c r="L420" s="32">
        <f t="shared" si="49"/>
        <v>79.329520211869735</v>
      </c>
      <c r="M420" s="32">
        <f t="shared" si="48"/>
        <v>79.329520211869735</v>
      </c>
    </row>
    <row r="421" spans="2:13" x14ac:dyDescent="0.25">
      <c r="B421" s="31">
        <v>281</v>
      </c>
      <c r="C421" s="32">
        <f t="shared" si="46"/>
        <v>5.6199999999999681</v>
      </c>
      <c r="D421" s="35">
        <f t="shared" si="47"/>
        <v>80</v>
      </c>
      <c r="E421" s="32">
        <f t="shared" si="50"/>
        <v>79.878378567867344</v>
      </c>
      <c r="F421" s="32">
        <f t="shared" si="50"/>
        <v>79.760898801929955</v>
      </c>
      <c r="G421" s="32">
        <f t="shared" si="50"/>
        <v>79.651561351352626</v>
      </c>
      <c r="H421" s="32">
        <f t="shared" si="50"/>
        <v>79.554089546658602</v>
      </c>
      <c r="I421" s="32">
        <f t="shared" si="50"/>
        <v>79.471802703649502</v>
      </c>
      <c r="J421" s="32">
        <f t="shared" si="50"/>
        <v>79.407502970602863</v>
      </c>
      <c r="K421" s="32">
        <f t="shared" si="50"/>
        <v>79.363380026099094</v>
      </c>
      <c r="L421" s="32">
        <f t="shared" si="49"/>
        <v>79.340936402802299</v>
      </c>
      <c r="M421" s="32">
        <f t="shared" si="48"/>
        <v>79.340936402802299</v>
      </c>
    </row>
    <row r="422" spans="2:13" x14ac:dyDescent="0.25">
      <c r="B422" s="31">
        <v>282</v>
      </c>
      <c r="C422" s="32">
        <f t="shared" si="46"/>
        <v>5.6399999999999677</v>
      </c>
      <c r="D422" s="35">
        <f t="shared" si="47"/>
        <v>80</v>
      </c>
      <c r="E422" s="32">
        <f t="shared" si="50"/>
        <v>79.880449400964977</v>
      </c>
      <c r="F422" s="32">
        <f t="shared" si="50"/>
        <v>79.764969959609985</v>
      </c>
      <c r="G422" s="32">
        <f t="shared" si="50"/>
        <v>79.657494174294271</v>
      </c>
      <c r="H422" s="32">
        <f t="shared" si="50"/>
        <v>79.561682027501064</v>
      </c>
      <c r="I422" s="32">
        <f t="shared" si="50"/>
        <v>79.480796258630733</v>
      </c>
      <c r="J422" s="32">
        <f t="shared" si="50"/>
        <v>79.417591364874298</v>
      </c>
      <c r="K422" s="32">
        <f t="shared" si="50"/>
        <v>79.374219686702588</v>
      </c>
      <c r="L422" s="32">
        <f t="shared" si="49"/>
        <v>79.352158214450697</v>
      </c>
      <c r="M422" s="32">
        <f t="shared" si="48"/>
        <v>79.352158214450697</v>
      </c>
    </row>
    <row r="423" spans="2:13" x14ac:dyDescent="0.25">
      <c r="B423" s="31">
        <v>283</v>
      </c>
      <c r="C423" s="32">
        <f t="shared" si="46"/>
        <v>5.6599999999999673</v>
      </c>
      <c r="D423" s="35">
        <f t="shared" si="47"/>
        <v>80</v>
      </c>
      <c r="E423" s="32">
        <f t="shared" si="50"/>
        <v>79.882484979804985</v>
      </c>
      <c r="F423" s="32">
        <f t="shared" si="50"/>
        <v>79.768971787629624</v>
      </c>
      <c r="G423" s="32">
        <f t="shared" si="50"/>
        <v>79.663325993555532</v>
      </c>
      <c r="H423" s="32">
        <f t="shared" si="50"/>
        <v>79.569145216462502</v>
      </c>
      <c r="I423" s="32">
        <f t="shared" si="50"/>
        <v>79.489636696187688</v>
      </c>
      <c r="J423" s="32">
        <f t="shared" si="50"/>
        <v>79.42750797266666</v>
      </c>
      <c r="K423" s="32">
        <f t="shared" si="50"/>
        <v>79.38487478966249</v>
      </c>
      <c r="L423" s="32">
        <f t="shared" si="49"/>
        <v>79.363188950576642</v>
      </c>
      <c r="M423" s="32">
        <f t="shared" si="48"/>
        <v>79.363188950576642</v>
      </c>
    </row>
    <row r="424" spans="2:13" x14ac:dyDescent="0.25">
      <c r="B424" s="31">
        <v>284</v>
      </c>
      <c r="C424" s="32">
        <f t="shared" si="46"/>
        <v>5.6799999999999669</v>
      </c>
      <c r="D424" s="35">
        <f t="shared" si="47"/>
        <v>80</v>
      </c>
      <c r="E424" s="32">
        <f t="shared" si="50"/>
        <v>79.884485893814812</v>
      </c>
      <c r="F424" s="32">
        <f t="shared" si="50"/>
        <v>79.772905486680258</v>
      </c>
      <c r="G424" s="32">
        <f t="shared" si="50"/>
        <v>79.669058502046056</v>
      </c>
      <c r="H424" s="32">
        <f t="shared" si="50"/>
        <v>79.57648134487161</v>
      </c>
      <c r="I424" s="32">
        <f t="shared" si="50"/>
        <v>79.498326594564588</v>
      </c>
      <c r="J424" s="32">
        <f t="shared" si="50"/>
        <v>79.437255742925089</v>
      </c>
      <c r="K424" s="32">
        <f t="shared" si="50"/>
        <v>79.395348461621651</v>
      </c>
      <c r="L424" s="32">
        <f t="shared" si="49"/>
        <v>79.374031870119566</v>
      </c>
      <c r="M424" s="32">
        <f t="shared" si="48"/>
        <v>79.374031870119566</v>
      </c>
    </row>
    <row r="425" spans="2:13" x14ac:dyDescent="0.25">
      <c r="B425" s="31">
        <v>285</v>
      </c>
      <c r="C425" s="32">
        <f t="shared" si="46"/>
        <v>5.6999999999999664</v>
      </c>
      <c r="D425" s="35">
        <f t="shared" si="47"/>
        <v>80</v>
      </c>
      <c r="E425" s="32">
        <f t="shared" si="50"/>
        <v>79.886452743340129</v>
      </c>
      <c r="F425" s="32">
        <f t="shared" si="50"/>
        <v>79.776772197930427</v>
      </c>
      <c r="G425" s="32">
        <f t="shared" si="50"/>
        <v>79.674693415775934</v>
      </c>
      <c r="H425" s="32">
        <f t="shared" si="50"/>
        <v>79.583692548305322</v>
      </c>
      <c r="I425" s="32">
        <f t="shared" si="50"/>
        <v>79.506868543898349</v>
      </c>
      <c r="J425" s="32">
        <f t="shared" si="50"/>
        <v>79.446837528093113</v>
      </c>
      <c r="K425" s="32">
        <f t="shared" si="50"/>
        <v>79.405643806522335</v>
      </c>
      <c r="L425" s="32">
        <f t="shared" si="49"/>
        <v>79.384690165870609</v>
      </c>
      <c r="M425" s="32">
        <f t="shared" si="48"/>
        <v>79.384690165870609</v>
      </c>
    </row>
    <row r="426" spans="2:13" x14ac:dyDescent="0.25">
      <c r="B426" s="31">
        <v>286</v>
      </c>
      <c r="C426" s="32">
        <f t="shared" si="46"/>
        <v>5.719999999999966</v>
      </c>
      <c r="D426" s="35">
        <f t="shared" si="47"/>
        <v>80</v>
      </c>
      <c r="E426" s="32">
        <f t="shared" si="50"/>
        <v>79.888386098965213</v>
      </c>
      <c r="F426" s="32">
        <f t="shared" si="50"/>
        <v>79.780573079558025</v>
      </c>
      <c r="G426" s="32">
        <f t="shared" si="50"/>
        <v>79.680232373117875</v>
      </c>
      <c r="H426" s="32">
        <f t="shared" si="50"/>
        <v>79.590780979837149</v>
      </c>
      <c r="I426" s="32">
        <f t="shared" si="50"/>
        <v>79.515265038199217</v>
      </c>
      <c r="J426" s="32">
        <f t="shared" si="50"/>
        <v>79.456256175210342</v>
      </c>
      <c r="K426" s="32">
        <f t="shared" si="50"/>
        <v>79.415763846981861</v>
      </c>
      <c r="L426" s="32">
        <f t="shared" si="49"/>
        <v>79.395166986196472</v>
      </c>
      <c r="M426" s="32">
        <f t="shared" si="48"/>
        <v>79.395166986196472</v>
      </c>
    </row>
    <row r="427" spans="2:13" x14ac:dyDescent="0.25">
      <c r="B427" s="31">
        <v>287</v>
      </c>
      <c r="C427" s="32">
        <f t="shared" si="46"/>
        <v>5.7399999999999656</v>
      </c>
      <c r="D427" s="35">
        <f t="shared" si="47"/>
        <v>80</v>
      </c>
      <c r="E427" s="32">
        <f t="shared" si="50"/>
        <v>79.890286539779012</v>
      </c>
      <c r="F427" s="32">
        <f t="shared" si="50"/>
        <v>79.784309236041537</v>
      </c>
      <c r="G427" s="32">
        <f t="shared" si="50"/>
        <v>79.685677029697587</v>
      </c>
      <c r="H427" s="32">
        <f t="shared" si="50"/>
        <v>79.597748705658546</v>
      </c>
      <c r="I427" s="32">
        <f t="shared" si="50"/>
        <v>79.523518577523745</v>
      </c>
      <c r="J427" s="32">
        <f t="shared" si="50"/>
        <v>79.465514442590546</v>
      </c>
      <c r="K427" s="32">
        <f t="shared" si="50"/>
        <v>79.425711580703407</v>
      </c>
      <c r="L427" s="32">
        <f t="shared" si="49"/>
        <v>79.405465416589166</v>
      </c>
      <c r="M427" s="32">
        <f t="shared" si="48"/>
        <v>79.405465416589166</v>
      </c>
    </row>
    <row r="428" spans="2:13" x14ac:dyDescent="0.25">
      <c r="B428" s="31">
        <v>288</v>
      </c>
      <c r="C428" s="32">
        <f t="shared" si="46"/>
        <v>5.7599999999999651</v>
      </c>
      <c r="D428" s="35">
        <f t="shared" si="47"/>
        <v>80</v>
      </c>
      <c r="E428" s="32">
        <f t="shared" si="50"/>
        <v>79.892154618020768</v>
      </c>
      <c r="F428" s="32">
        <f t="shared" si="50"/>
        <v>79.787981784738292</v>
      </c>
      <c r="G428" s="32">
        <f t="shared" si="50"/>
        <v>79.691028970850041</v>
      </c>
      <c r="H428" s="32">
        <f t="shared" si="50"/>
        <v>79.604597803610659</v>
      </c>
      <c r="I428" s="32">
        <f t="shared" si="50"/>
        <v>79.531631574124546</v>
      </c>
      <c r="J428" s="32">
        <f t="shared" si="50"/>
        <v>79.474615079113576</v>
      </c>
      <c r="K428" s="32">
        <f t="shared" si="50"/>
        <v>79.435489929589863</v>
      </c>
      <c r="L428" s="32">
        <f t="shared" si="49"/>
        <v>79.415588498646287</v>
      </c>
      <c r="M428" s="32">
        <f t="shared" si="48"/>
        <v>79.415588498646287</v>
      </c>
    </row>
    <row r="429" spans="2:13" x14ac:dyDescent="0.25">
      <c r="B429" s="31">
        <v>289</v>
      </c>
      <c r="C429" s="32">
        <f t="shared" si="46"/>
        <v>5.7799999999999647</v>
      </c>
      <c r="D429" s="35">
        <f t="shared" si="47"/>
        <v>80</v>
      </c>
      <c r="E429" s="32">
        <f t="shared" si="50"/>
        <v>79.893990892369146</v>
      </c>
      <c r="F429" s="32">
        <f t="shared" si="50"/>
        <v>79.791591794435405</v>
      </c>
      <c r="G429" s="32">
        <f t="shared" si="50"/>
        <v>79.696289794174476</v>
      </c>
      <c r="H429" s="32">
        <f t="shared" si="50"/>
        <v>79.611330272487294</v>
      </c>
      <c r="I429" s="32">
        <f t="shared" si="50"/>
        <v>79.53960644136211</v>
      </c>
      <c r="J429" s="32">
        <f t="shared" si="50"/>
        <v>79.483560751857198</v>
      </c>
      <c r="K429" s="32">
        <f t="shared" si="50"/>
        <v>79.445101788879924</v>
      </c>
      <c r="L429" s="32">
        <f t="shared" si="49"/>
        <v>79.425539214118075</v>
      </c>
      <c r="M429" s="32">
        <f t="shared" si="48"/>
        <v>79.425539214118075</v>
      </c>
    </row>
    <row r="430" spans="2:13" x14ac:dyDescent="0.25">
      <c r="B430" s="31">
        <v>290</v>
      </c>
      <c r="C430" s="32">
        <f t="shared" si="46"/>
        <v>5.7999999999999643</v>
      </c>
      <c r="D430" s="35">
        <f t="shared" si="47"/>
        <v>80</v>
      </c>
      <c r="E430" s="32">
        <f t="shared" si="50"/>
        <v>79.89579589721771</v>
      </c>
      <c r="F430" s="32">
        <f t="shared" si="50"/>
        <v>79.795140343271811</v>
      </c>
      <c r="G430" s="32">
        <f t="shared" si="50"/>
        <v>79.701461033461356</v>
      </c>
      <c r="H430" s="32">
        <f t="shared" si="50"/>
        <v>79.617948117768293</v>
      </c>
      <c r="I430" s="32">
        <f t="shared" si="50"/>
        <v>79.547445512172246</v>
      </c>
      <c r="J430" s="32">
        <f t="shared" si="50"/>
        <v>79.492354115121017</v>
      </c>
      <c r="K430" s="32">
        <f t="shared" si="50"/>
        <v>79.454549982987629</v>
      </c>
      <c r="L430" s="32">
        <f t="shared" si="49"/>
        <v>79.435320501499007</v>
      </c>
      <c r="M430" s="32">
        <f t="shared" si="48"/>
        <v>79.435320501499007</v>
      </c>
    </row>
    <row r="431" spans="2:13" x14ac:dyDescent="0.25">
      <c r="B431" s="31">
        <v>291</v>
      </c>
      <c r="C431" s="32">
        <f t="shared" si="46"/>
        <v>5.8199999999999639</v>
      </c>
      <c r="D431" s="35">
        <f t="shared" si="47"/>
        <v>80</v>
      </c>
      <c r="E431" s="32">
        <f t="shared" si="50"/>
        <v>79.897570171635905</v>
      </c>
      <c r="F431" s="32">
        <f t="shared" si="50"/>
        <v>79.798628465339533</v>
      </c>
      <c r="G431" s="32">
        <f t="shared" si="50"/>
        <v>79.706544230520052</v>
      </c>
      <c r="H431" s="32">
        <f t="shared" si="50"/>
        <v>79.624453272816794</v>
      </c>
      <c r="I431" s="32">
        <f t="shared" si="50"/>
        <v>79.555151116444648</v>
      </c>
      <c r="J431" s="32">
        <f t="shared" si="50"/>
        <v>79.50099774757993</v>
      </c>
      <c r="K431" s="32">
        <f t="shared" si="50"/>
        <v>79.463837308310019</v>
      </c>
      <c r="L431" s="32">
        <f t="shared" si="49"/>
        <v>79.444935242243318</v>
      </c>
      <c r="M431" s="32">
        <f t="shared" si="48"/>
        <v>79.444935242243318</v>
      </c>
    </row>
    <row r="432" spans="2:13" x14ac:dyDescent="0.25">
      <c r="B432" s="31">
        <v>292</v>
      </c>
      <c r="C432" s="32">
        <f t="shared" si="46"/>
        <v>5.8399999999999634</v>
      </c>
      <c r="D432" s="35">
        <f t="shared" si="47"/>
        <v>80</v>
      </c>
      <c r="E432" s="32">
        <f t="shared" si="50"/>
        <v>79.899314232669767</v>
      </c>
      <c r="F432" s="32">
        <f t="shared" si="50"/>
        <v>79.802057201077986</v>
      </c>
      <c r="G432" s="32">
        <f t="shared" si="50"/>
        <v>79.711540869078163</v>
      </c>
      <c r="H432" s="32">
        <f t="shared" si="50"/>
        <v>79.63084767348235</v>
      </c>
      <c r="I432" s="32">
        <f t="shared" si="50"/>
        <v>79.562725510198362</v>
      </c>
      <c r="J432" s="32">
        <f t="shared" si="50"/>
        <v>79.509494212377334</v>
      </c>
      <c r="K432" s="32">
        <f t="shared" si="50"/>
        <v>79.472966494911617</v>
      </c>
      <c r="L432" s="32">
        <f t="shared" si="49"/>
        <v>79.454386275276676</v>
      </c>
      <c r="M432" s="32">
        <f t="shared" si="48"/>
        <v>79.454386275276676</v>
      </c>
    </row>
    <row r="433" spans="2:13" x14ac:dyDescent="0.25">
      <c r="B433" s="31">
        <v>293</v>
      </c>
      <c r="C433" s="32">
        <f t="shared" si="46"/>
        <v>5.859999999999963</v>
      </c>
      <c r="D433" s="35">
        <f t="shared" si="47"/>
        <v>80</v>
      </c>
      <c r="E433" s="32">
        <f t="shared" si="50"/>
        <v>79.901028600538993</v>
      </c>
      <c r="F433" s="32">
        <f t="shared" si="50"/>
        <v>79.805427550873958</v>
      </c>
      <c r="G433" s="32">
        <f t="shared" si="50"/>
        <v>79.716452437280168</v>
      </c>
      <c r="H433" s="32">
        <f t="shared" si="50"/>
        <v>79.637133189638263</v>
      </c>
      <c r="I433" s="32">
        <f t="shared" si="50"/>
        <v>79.570170942929849</v>
      </c>
      <c r="J433" s="32">
        <f t="shared" si="50"/>
        <v>79.51784600255499</v>
      </c>
      <c r="K433" s="32">
        <f t="shared" si="50"/>
        <v>79.481940243827012</v>
      </c>
      <c r="L433" s="32">
        <f t="shared" si="49"/>
        <v>79.463676385094146</v>
      </c>
      <c r="M433" s="32">
        <f t="shared" si="48"/>
        <v>79.463676385094146</v>
      </c>
    </row>
    <row r="434" spans="2:13" x14ac:dyDescent="0.25">
      <c r="B434" s="31">
        <v>294</v>
      </c>
      <c r="C434" s="32">
        <f t="shared" si="46"/>
        <v>5.8799999999999626</v>
      </c>
      <c r="D434" s="35">
        <f t="shared" si="47"/>
        <v>80</v>
      </c>
      <c r="E434" s="32">
        <f t="shared" si="50"/>
        <v>79.902713775436979</v>
      </c>
      <c r="F434" s="32">
        <f t="shared" si="50"/>
        <v>79.808740518909588</v>
      </c>
      <c r="G434" s="32">
        <f t="shared" si="50"/>
        <v>79.72128037025611</v>
      </c>
      <c r="H434" s="32">
        <f t="shared" si="50"/>
        <v>79.643311690105008</v>
      </c>
      <c r="I434" s="32">
        <f t="shared" si="50"/>
        <v>79.577489596096626</v>
      </c>
      <c r="J434" s="32">
        <f t="shared" si="50"/>
        <v>79.52605559337843</v>
      </c>
      <c r="K434" s="32">
        <f t="shared" si="50"/>
        <v>79.490761193824568</v>
      </c>
      <c r="L434" s="32">
        <f t="shared" si="49"/>
        <v>79.472808314460579</v>
      </c>
      <c r="M434" s="32">
        <f t="shared" si="48"/>
        <v>79.472808314460579</v>
      </c>
    </row>
    <row r="435" spans="2:13" x14ac:dyDescent="0.25">
      <c r="B435" s="31">
        <v>295</v>
      </c>
      <c r="C435" s="32">
        <f t="shared" si="46"/>
        <v>5.8999999999999622</v>
      </c>
      <c r="D435" s="35">
        <f t="shared" si="47"/>
        <v>80</v>
      </c>
      <c r="E435" s="32">
        <f t="shared" si="50"/>
        <v>79.904370259454794</v>
      </c>
      <c r="F435" s="32">
        <f t="shared" si="50"/>
        <v>79.811997072846538</v>
      </c>
      <c r="G435" s="32">
        <f t="shared" si="50"/>
        <v>79.726026104507298</v>
      </c>
      <c r="H435" s="32">
        <f t="shared" si="50"/>
        <v>79.649384983176361</v>
      </c>
      <c r="I435" s="32">
        <f t="shared" si="50"/>
        <v>79.584683641741719</v>
      </c>
      <c r="J435" s="32">
        <f t="shared" si="50"/>
        <v>79.534125394960597</v>
      </c>
      <c r="K435" s="32">
        <f t="shared" si="50"/>
        <v>79.499431953919498</v>
      </c>
      <c r="L435" s="32">
        <f t="shared" si="49"/>
        <v>79.481784754142581</v>
      </c>
      <c r="M435" s="32">
        <f t="shared" si="48"/>
        <v>79.481784754142581</v>
      </c>
    </row>
    <row r="436" spans="2:13" x14ac:dyDescent="0.25">
      <c r="B436" s="31">
        <v>296</v>
      </c>
      <c r="C436" s="32">
        <f t="shared" si="46"/>
        <v>5.9199999999999617</v>
      </c>
      <c r="D436" s="35">
        <f t="shared" si="47"/>
        <v>80</v>
      </c>
      <c r="E436" s="32">
        <f t="shared" si="50"/>
        <v>79.905998536423269</v>
      </c>
      <c r="F436" s="32">
        <f t="shared" si="50"/>
        <v>79.815198181981046</v>
      </c>
      <c r="G436" s="32">
        <f t="shared" si="50"/>
        <v>79.730691028011449</v>
      </c>
      <c r="H436" s="32">
        <f t="shared" si="50"/>
        <v>79.655354873124509</v>
      </c>
      <c r="I436" s="32">
        <f t="shared" si="50"/>
        <v>79.591755189068479</v>
      </c>
      <c r="J436" s="32">
        <f t="shared" si="50"/>
        <v>79.542057797830608</v>
      </c>
      <c r="K436" s="32">
        <f t="shared" si="50"/>
        <v>79.507955074551589</v>
      </c>
      <c r="L436" s="32">
        <f t="shared" si="49"/>
        <v>79.490608354031039</v>
      </c>
      <c r="M436" s="32">
        <f t="shared" si="48"/>
        <v>79.490608354031039</v>
      </c>
    </row>
    <row r="437" spans="2:13" x14ac:dyDescent="0.25">
      <c r="B437" s="31">
        <v>297</v>
      </c>
      <c r="C437" s="32">
        <f t="shared" si="46"/>
        <v>5.9399999999999613</v>
      </c>
      <c r="D437" s="35">
        <f t="shared" si="47"/>
        <v>80</v>
      </c>
      <c r="E437" s="32">
        <f t="shared" si="50"/>
        <v>79.907599090990516</v>
      </c>
      <c r="F437" s="32">
        <f t="shared" si="50"/>
        <v>79.818344782217366</v>
      </c>
      <c r="G437" s="32">
        <f t="shared" si="50"/>
        <v>79.73527652755277</v>
      </c>
      <c r="H437" s="32">
        <f t="shared" si="50"/>
        <v>79.661223108539957</v>
      </c>
      <c r="I437" s="32">
        <f t="shared" si="50"/>
        <v>79.598706335477559</v>
      </c>
      <c r="J437" s="32">
        <f t="shared" si="50"/>
        <v>79.549855131810034</v>
      </c>
      <c r="K437" s="32">
        <f t="shared" si="50"/>
        <v>79.516333075930817</v>
      </c>
      <c r="L437" s="32">
        <f t="shared" si="49"/>
        <v>79.499281714291314</v>
      </c>
      <c r="M437" s="32">
        <f t="shared" si="48"/>
        <v>79.499281714291314</v>
      </c>
    </row>
    <row r="438" spans="2:13" x14ac:dyDescent="0.25">
      <c r="B438" s="31">
        <v>298</v>
      </c>
      <c r="C438" s="32">
        <f t="shared" ref="C438:C501" si="51">C437+$E$138</f>
        <v>5.9599999999999609</v>
      </c>
      <c r="D438" s="35">
        <f t="shared" ref="D438:D501" si="52">D437</f>
        <v>80</v>
      </c>
      <c r="E438" s="32">
        <f t="shared" si="50"/>
        <v>79.909172391108683</v>
      </c>
      <c r="F438" s="32">
        <f t="shared" si="50"/>
        <v>79.821437809271643</v>
      </c>
      <c r="G438" s="32">
        <f t="shared" si="50"/>
        <v>79.739783945378662</v>
      </c>
      <c r="H438" s="32">
        <f t="shared" si="50"/>
        <v>79.666991431515157</v>
      </c>
      <c r="I438" s="32">
        <f t="shared" si="50"/>
        <v>79.605539120174996</v>
      </c>
      <c r="J438" s="32">
        <f t="shared" si="50"/>
        <v>79.557519705704181</v>
      </c>
      <c r="K438" s="32">
        <f t="shared" si="50"/>
        <v>79.524568423050681</v>
      </c>
      <c r="L438" s="32">
        <f t="shared" si="49"/>
        <v>79.507807395111058</v>
      </c>
      <c r="M438" s="32">
        <f t="shared" si="48"/>
        <v>79.507807395111058</v>
      </c>
    </row>
    <row r="439" spans="2:13" x14ac:dyDescent="0.25">
      <c r="B439" s="31">
        <v>299</v>
      </c>
      <c r="C439" s="32">
        <f t="shared" si="51"/>
        <v>5.9799999999999605</v>
      </c>
      <c r="D439" s="35">
        <f t="shared" si="52"/>
        <v>80</v>
      </c>
      <c r="E439" s="32">
        <f t="shared" si="50"/>
        <v>79.910718904635814</v>
      </c>
      <c r="F439" s="32">
        <f t="shared" si="50"/>
        <v>79.824478168243672</v>
      </c>
      <c r="G439" s="32">
        <f t="shared" si="50"/>
        <v>79.744214620393393</v>
      </c>
      <c r="H439" s="32">
        <f t="shared" si="50"/>
        <v>79.672661532776829</v>
      </c>
      <c r="I439" s="32">
        <f t="shared" si="50"/>
        <v>79.612255568609669</v>
      </c>
      <c r="J439" s="32">
        <f t="shared" si="50"/>
        <v>79.565053771612838</v>
      </c>
      <c r="K439" s="32">
        <f t="shared" si="50"/>
        <v>79.532663550407619</v>
      </c>
      <c r="L439" s="32">
        <f t="shared" si="49"/>
        <v>79.51618790908087</v>
      </c>
      <c r="M439" s="32">
        <f t="shared" si="48"/>
        <v>79.51618790908087</v>
      </c>
    </row>
    <row r="440" spans="2:13" x14ac:dyDescent="0.25">
      <c r="B440" s="31">
        <v>300</v>
      </c>
      <c r="C440" s="32">
        <f t="shared" si="51"/>
        <v>5.99999999999996</v>
      </c>
      <c r="D440" s="35">
        <f t="shared" si="52"/>
        <v>80</v>
      </c>
      <c r="E440" s="32">
        <f t="shared" si="50"/>
        <v>79.912239084121836</v>
      </c>
      <c r="F440" s="32">
        <f t="shared" si="50"/>
        <v>79.827466762514604</v>
      </c>
      <c r="G440" s="32">
        <f t="shared" si="50"/>
        <v>79.74856985051025</v>
      </c>
      <c r="H440" s="32">
        <f t="shared" si="50"/>
        <v>79.678235094501531</v>
      </c>
      <c r="I440" s="32">
        <f t="shared" si="50"/>
        <v>79.618857652194833</v>
      </c>
      <c r="J440" s="32">
        <f t="shared" si="50"/>
        <v>79.572459559508644</v>
      </c>
      <c r="K440" s="32">
        <f t="shared" si="50"/>
        <v>79.540620840346861</v>
      </c>
      <c r="L440" s="32">
        <f t="shared" si="49"/>
        <v>79.524425729744252</v>
      </c>
      <c r="M440" s="32">
        <f t="shared" si="48"/>
        <v>79.524425729744252</v>
      </c>
    </row>
    <row r="441" spans="2:13" x14ac:dyDescent="0.25">
      <c r="B441" s="31">
        <v>301</v>
      </c>
      <c r="C441" s="32">
        <f t="shared" si="51"/>
        <v>6.0199999999999596</v>
      </c>
      <c r="D441" s="35">
        <f t="shared" si="52"/>
        <v>80</v>
      </c>
      <c r="E441" s="32">
        <f t="shared" si="50"/>
        <v>79.913733381257302</v>
      </c>
      <c r="F441" s="32">
        <f t="shared" si="50"/>
        <v>79.830404467316043</v>
      </c>
      <c r="G441" s="32">
        <f t="shared" si="50"/>
        <v>79.752850928508067</v>
      </c>
      <c r="H441" s="32">
        <f t="shared" si="50"/>
        <v>79.683713751352542</v>
      </c>
      <c r="I441" s="32">
        <f t="shared" si="50"/>
        <v>79.625347327005088</v>
      </c>
      <c r="J441" s="32">
        <f t="shared" si="50"/>
        <v>79.579739246270847</v>
      </c>
      <c r="K441" s="32">
        <f t="shared" si="50"/>
        <v>79.548442644626448</v>
      </c>
      <c r="L441" s="32">
        <f t="shared" si="49"/>
        <v>79.532523285045556</v>
      </c>
      <c r="M441" s="32">
        <f t="shared" si="48"/>
        <v>79.532523285045556</v>
      </c>
    </row>
    <row r="442" spans="2:13" x14ac:dyDescent="0.25">
      <c r="B442" s="31">
        <v>302</v>
      </c>
      <c r="C442" s="32">
        <f t="shared" si="51"/>
        <v>6.0399999999999592</v>
      </c>
      <c r="D442" s="35">
        <f t="shared" si="52"/>
        <v>80</v>
      </c>
      <c r="E442" s="32">
        <f t="shared" si="50"/>
        <v>79.915202233658022</v>
      </c>
      <c r="F442" s="32">
        <f t="shared" si="50"/>
        <v>79.833292154882685</v>
      </c>
      <c r="G442" s="32">
        <f t="shared" si="50"/>
        <v>79.757059109334293</v>
      </c>
      <c r="H442" s="32">
        <f t="shared" si="50"/>
        <v>79.689099127756577</v>
      </c>
      <c r="I442" s="32">
        <f t="shared" si="50"/>
        <v>79.631726498811702</v>
      </c>
      <c r="J442" s="32">
        <f t="shared" si="50"/>
        <v>79.586894985815775</v>
      </c>
      <c r="K442" s="32">
        <f t="shared" si="50"/>
        <v>79.556131265658195</v>
      </c>
      <c r="L442" s="32">
        <f t="shared" si="49"/>
        <v>79.540482964836002</v>
      </c>
      <c r="M442" s="32">
        <f t="shared" si="48"/>
        <v>79.540482964836002</v>
      </c>
    </row>
    <row r="443" spans="2:13" x14ac:dyDescent="0.25">
      <c r="B443" s="31">
        <v>303</v>
      </c>
      <c r="C443" s="32">
        <f t="shared" si="51"/>
        <v>6.0599999999999588</v>
      </c>
      <c r="D443" s="35">
        <f t="shared" si="52"/>
        <v>80</v>
      </c>
      <c r="E443" s="32">
        <f t="shared" si="50"/>
        <v>79.916646077441342</v>
      </c>
      <c r="F443" s="32">
        <f t="shared" si="50"/>
        <v>79.836130671496164</v>
      </c>
      <c r="G443" s="32">
        <f t="shared" ref="E443:K479" si="53">(F442+H442)/2</f>
        <v>79.761195641319631</v>
      </c>
      <c r="H443" s="32">
        <f t="shared" si="53"/>
        <v>79.694392804073004</v>
      </c>
      <c r="I443" s="32">
        <f t="shared" si="53"/>
        <v>79.637997056786176</v>
      </c>
      <c r="J443" s="32">
        <f t="shared" si="53"/>
        <v>79.593928882234948</v>
      </c>
      <c r="K443" s="32">
        <f t="shared" si="53"/>
        <v>79.563688975325888</v>
      </c>
      <c r="L443" s="32">
        <f t="shared" si="49"/>
        <v>79.548307115247098</v>
      </c>
      <c r="M443" s="32">
        <f t="shared" si="48"/>
        <v>79.548307115247098</v>
      </c>
    </row>
    <row r="444" spans="2:13" x14ac:dyDescent="0.25">
      <c r="B444" s="31">
        <v>304</v>
      </c>
      <c r="C444" s="32">
        <f t="shared" si="51"/>
        <v>6.0799999999999583</v>
      </c>
      <c r="D444" s="35">
        <f t="shared" si="52"/>
        <v>80</v>
      </c>
      <c r="E444" s="32">
        <f t="shared" si="53"/>
        <v>79.918065335748082</v>
      </c>
      <c r="F444" s="32">
        <f t="shared" si="53"/>
        <v>79.838920859380494</v>
      </c>
      <c r="G444" s="32">
        <f t="shared" si="53"/>
        <v>79.765261737784584</v>
      </c>
      <c r="H444" s="32">
        <f t="shared" si="53"/>
        <v>79.699596349052911</v>
      </c>
      <c r="I444" s="32">
        <f t="shared" si="53"/>
        <v>79.644160843153969</v>
      </c>
      <c r="J444" s="32">
        <f t="shared" si="53"/>
        <v>79.600843016056032</v>
      </c>
      <c r="K444" s="32">
        <f t="shared" si="53"/>
        <v>79.571117998741016</v>
      </c>
      <c r="L444" s="32">
        <f t="shared" si="49"/>
        <v>79.555998045286486</v>
      </c>
      <c r="M444" s="32">
        <f t="shared" si="48"/>
        <v>79.555998045286486</v>
      </c>
    </row>
    <row r="445" spans="2:13" x14ac:dyDescent="0.25">
      <c r="B445" s="31">
        <v>305</v>
      </c>
      <c r="C445" s="32">
        <f t="shared" si="51"/>
        <v>6.0999999999999579</v>
      </c>
      <c r="D445" s="35">
        <f t="shared" si="52"/>
        <v>80</v>
      </c>
      <c r="E445" s="32">
        <f t="shared" si="53"/>
        <v>79.919460429690247</v>
      </c>
      <c r="F445" s="32">
        <f t="shared" si="53"/>
        <v>79.841663536766333</v>
      </c>
      <c r="G445" s="32">
        <f t="shared" si="53"/>
        <v>79.769258604216702</v>
      </c>
      <c r="H445" s="32">
        <f t="shared" si="53"/>
        <v>79.704711290469277</v>
      </c>
      <c r="I445" s="32">
        <f t="shared" si="53"/>
        <v>79.650219682554479</v>
      </c>
      <c r="J445" s="32">
        <f t="shared" si="53"/>
        <v>79.607639420947493</v>
      </c>
      <c r="K445" s="32">
        <f t="shared" si="53"/>
        <v>79.578420530671252</v>
      </c>
      <c r="L445" s="32">
        <f t="shared" si="49"/>
        <v>79.563558022013751</v>
      </c>
      <c r="M445" s="32">
        <f t="shared" si="48"/>
        <v>79.563558022013751</v>
      </c>
    </row>
    <row r="446" spans="2:13" x14ac:dyDescent="0.25">
      <c r="B446" s="31">
        <v>306</v>
      </c>
      <c r="C446" s="32">
        <f t="shared" si="51"/>
        <v>6.1199999999999575</v>
      </c>
      <c r="D446" s="35">
        <f t="shared" si="52"/>
        <v>80</v>
      </c>
      <c r="E446" s="32">
        <f t="shared" si="53"/>
        <v>79.920831768383167</v>
      </c>
      <c r="F446" s="32">
        <f t="shared" si="53"/>
        <v>79.844359516953475</v>
      </c>
      <c r="G446" s="32">
        <f t="shared" si="53"/>
        <v>79.773187413617805</v>
      </c>
      <c r="H446" s="32">
        <f t="shared" si="53"/>
        <v>79.70973914338559</v>
      </c>
      <c r="I446" s="32">
        <f t="shared" si="53"/>
        <v>79.656175355708385</v>
      </c>
      <c r="J446" s="32">
        <f t="shared" si="53"/>
        <v>79.614320106612865</v>
      </c>
      <c r="K446" s="32">
        <f t="shared" si="53"/>
        <v>79.585598721480622</v>
      </c>
      <c r="L446" s="32">
        <f t="shared" si="49"/>
        <v>79.570989276342502</v>
      </c>
      <c r="M446" s="32">
        <f t="shared" si="48"/>
        <v>79.570989276342502</v>
      </c>
    </row>
    <row r="447" spans="2:13" x14ac:dyDescent="0.25">
      <c r="B447" s="31">
        <v>307</v>
      </c>
      <c r="C447" s="32">
        <f t="shared" si="51"/>
        <v>6.139999999999957</v>
      </c>
      <c r="D447" s="35">
        <f t="shared" si="52"/>
        <v>80</v>
      </c>
      <c r="E447" s="32">
        <f t="shared" si="53"/>
        <v>79.922179758476744</v>
      </c>
      <c r="F447" s="32">
        <f t="shared" si="53"/>
        <v>79.847009591000486</v>
      </c>
      <c r="G447" s="32">
        <f t="shared" si="53"/>
        <v>79.777049330169532</v>
      </c>
      <c r="H447" s="32">
        <f t="shared" si="53"/>
        <v>79.714681384663095</v>
      </c>
      <c r="I447" s="32">
        <f t="shared" si="53"/>
        <v>79.662029624999235</v>
      </c>
      <c r="J447" s="32">
        <f t="shared" si="53"/>
        <v>79.620887038594503</v>
      </c>
      <c r="K447" s="32">
        <f t="shared" si="53"/>
        <v>79.592654691477691</v>
      </c>
      <c r="L447" s="32">
        <f t="shared" si="49"/>
        <v>79.578293998911562</v>
      </c>
      <c r="M447" s="32">
        <f t="shared" si="48"/>
        <v>79.578293998911562</v>
      </c>
    </row>
    <row r="448" spans="2:13" x14ac:dyDescent="0.25">
      <c r="B448" s="31">
        <v>308</v>
      </c>
      <c r="C448" s="32">
        <f t="shared" si="51"/>
        <v>6.1599999999999566</v>
      </c>
      <c r="D448" s="35">
        <f t="shared" si="52"/>
        <v>80</v>
      </c>
      <c r="E448" s="32">
        <f t="shared" si="53"/>
        <v>79.923504795500236</v>
      </c>
      <c r="F448" s="32">
        <f t="shared" si="53"/>
        <v>79.849614544323146</v>
      </c>
      <c r="G448" s="32">
        <f t="shared" si="53"/>
        <v>79.780845487831783</v>
      </c>
      <c r="H448" s="32">
        <f t="shared" si="53"/>
        <v>79.719539477584391</v>
      </c>
      <c r="I448" s="32">
        <f t="shared" si="53"/>
        <v>79.667784211628799</v>
      </c>
      <c r="J448" s="32">
        <f t="shared" si="53"/>
        <v>79.627342158238463</v>
      </c>
      <c r="K448" s="32">
        <f t="shared" si="53"/>
        <v>79.599590518753033</v>
      </c>
      <c r="L448" s="32">
        <f t="shared" si="49"/>
        <v>79.585474345194626</v>
      </c>
      <c r="M448" s="32">
        <f t="shared" si="48"/>
        <v>79.585474345194626</v>
      </c>
    </row>
    <row r="449" spans="2:13" x14ac:dyDescent="0.25">
      <c r="B449" s="31">
        <v>309</v>
      </c>
      <c r="C449" s="32">
        <f t="shared" si="51"/>
        <v>6.1799999999999562</v>
      </c>
      <c r="D449" s="35">
        <f t="shared" si="52"/>
        <v>80</v>
      </c>
      <c r="E449" s="32">
        <f t="shared" si="53"/>
        <v>79.924807272161573</v>
      </c>
      <c r="F449" s="32">
        <f t="shared" si="53"/>
        <v>79.852175141666009</v>
      </c>
      <c r="G449" s="32">
        <f t="shared" si="53"/>
        <v>79.784577010953768</v>
      </c>
      <c r="H449" s="32">
        <f t="shared" si="53"/>
        <v>79.724314849730291</v>
      </c>
      <c r="I449" s="32">
        <f t="shared" si="53"/>
        <v>79.673440817911427</v>
      </c>
      <c r="J449" s="32">
        <f t="shared" si="53"/>
        <v>79.633687365190923</v>
      </c>
      <c r="K449" s="32">
        <f t="shared" si="53"/>
        <v>79.606408251716545</v>
      </c>
      <c r="L449" s="32">
        <f t="shared" si="49"/>
        <v>79.592532431973837</v>
      </c>
      <c r="M449" s="32">
        <f t="shared" si="48"/>
        <v>79.592532431973837</v>
      </c>
    </row>
    <row r="450" spans="2:13" x14ac:dyDescent="0.25">
      <c r="B450" s="31">
        <v>310</v>
      </c>
      <c r="C450" s="32">
        <f t="shared" si="51"/>
        <v>6.1999999999999558</v>
      </c>
      <c r="D450" s="35">
        <f t="shared" si="52"/>
        <v>80</v>
      </c>
      <c r="E450" s="32">
        <f t="shared" si="53"/>
        <v>79.926087570833005</v>
      </c>
      <c r="F450" s="32">
        <f t="shared" si="53"/>
        <v>79.854692141557678</v>
      </c>
      <c r="G450" s="32">
        <f t="shared" si="53"/>
        <v>79.78824499569815</v>
      </c>
      <c r="H450" s="32">
        <f t="shared" si="53"/>
        <v>79.729008914432598</v>
      </c>
      <c r="I450" s="32">
        <f t="shared" si="53"/>
        <v>79.679001107460607</v>
      </c>
      <c r="J450" s="32">
        <f t="shared" si="53"/>
        <v>79.639924534813986</v>
      </c>
      <c r="K450" s="32">
        <f t="shared" si="53"/>
        <v>79.61310989858238</v>
      </c>
      <c r="L450" s="32">
        <f t="shared" si="49"/>
        <v>79.599470341845191</v>
      </c>
      <c r="M450" s="32">
        <f t="shared" si="48"/>
        <v>79.599470341845191</v>
      </c>
    </row>
    <row r="451" spans="2:13" x14ac:dyDescent="0.25">
      <c r="B451" s="31">
        <v>311</v>
      </c>
      <c r="C451" s="32">
        <f t="shared" si="51"/>
        <v>6.2199999999999553</v>
      </c>
      <c r="D451" s="35">
        <f t="shared" si="52"/>
        <v>80</v>
      </c>
      <c r="E451" s="32">
        <f t="shared" si="53"/>
        <v>79.927346070778839</v>
      </c>
      <c r="F451" s="32">
        <f t="shared" si="53"/>
        <v>79.85716628326557</v>
      </c>
      <c r="G451" s="32">
        <f t="shared" si="53"/>
        <v>79.791850527995138</v>
      </c>
      <c r="H451" s="32">
        <f t="shared" si="53"/>
        <v>79.733623051579372</v>
      </c>
      <c r="I451" s="32">
        <f t="shared" si="53"/>
        <v>79.684466724623292</v>
      </c>
      <c r="J451" s="32">
        <f t="shared" si="53"/>
        <v>79.6460555030215</v>
      </c>
      <c r="K451" s="32">
        <f t="shared" si="53"/>
        <v>79.619697438329581</v>
      </c>
      <c r="L451" s="32">
        <f t="shared" si="49"/>
        <v>79.606290120213785</v>
      </c>
      <c r="M451" s="32">
        <f t="shared" si="48"/>
        <v>79.606290120213785</v>
      </c>
    </row>
    <row r="452" spans="2:13" x14ac:dyDescent="0.25">
      <c r="B452" s="31">
        <v>312</v>
      </c>
      <c r="C452" s="32">
        <f t="shared" si="51"/>
        <v>6.2399999999999549</v>
      </c>
      <c r="D452" s="35">
        <f t="shared" si="52"/>
        <v>80</v>
      </c>
      <c r="E452" s="32">
        <f t="shared" si="53"/>
        <v>79.928583141632785</v>
      </c>
      <c r="F452" s="32">
        <f t="shared" si="53"/>
        <v>79.859598299386988</v>
      </c>
      <c r="G452" s="32">
        <f t="shared" si="53"/>
        <v>79.795394667422471</v>
      </c>
      <c r="H452" s="32">
        <f t="shared" si="53"/>
        <v>79.738158626309215</v>
      </c>
      <c r="I452" s="32">
        <f t="shared" si="53"/>
        <v>79.689839277300436</v>
      </c>
      <c r="J452" s="32">
        <f t="shared" si="53"/>
        <v>79.652082081476436</v>
      </c>
      <c r="K452" s="32">
        <f t="shared" si="53"/>
        <v>79.626172811617636</v>
      </c>
      <c r="L452" s="32">
        <f t="shared" si="49"/>
        <v>79.612993779271676</v>
      </c>
      <c r="M452" s="32">
        <f t="shared" si="48"/>
        <v>79.612993779271676</v>
      </c>
    </row>
    <row r="453" spans="2:13" x14ac:dyDescent="0.25">
      <c r="B453" s="31">
        <v>313</v>
      </c>
      <c r="C453" s="32">
        <f t="shared" si="51"/>
        <v>6.2599999999999545</v>
      </c>
      <c r="D453" s="35">
        <f t="shared" si="52"/>
        <v>80</v>
      </c>
      <c r="E453" s="32">
        <f t="shared" si="53"/>
        <v>79.929799149693494</v>
      </c>
      <c r="F453" s="32">
        <f t="shared" si="53"/>
        <v>79.861988904527635</v>
      </c>
      <c r="G453" s="32">
        <f t="shared" si="53"/>
        <v>79.798878462848108</v>
      </c>
      <c r="H453" s="32">
        <f t="shared" si="53"/>
        <v>79.742616972361446</v>
      </c>
      <c r="I453" s="32">
        <f t="shared" si="53"/>
        <v>79.695120353892833</v>
      </c>
      <c r="J453" s="32">
        <f t="shared" si="53"/>
        <v>79.658006044459029</v>
      </c>
      <c r="K453" s="32">
        <f t="shared" si="53"/>
        <v>79.632537930374056</v>
      </c>
      <c r="L453" s="32">
        <f t="shared" si="49"/>
        <v>79.619583295444656</v>
      </c>
      <c r="M453" s="32">
        <f t="shared" si="48"/>
        <v>79.619583295444656</v>
      </c>
    </row>
    <row r="454" spans="2:13" x14ac:dyDescent="0.25">
      <c r="B454" s="31">
        <v>314</v>
      </c>
      <c r="C454" s="32">
        <f t="shared" si="51"/>
        <v>6.2799999999999541</v>
      </c>
      <c r="D454" s="35">
        <f t="shared" si="52"/>
        <v>80</v>
      </c>
      <c r="E454" s="32">
        <f t="shared" si="53"/>
        <v>79.930994452263818</v>
      </c>
      <c r="F454" s="32">
        <f t="shared" si="53"/>
        <v>79.864338806270808</v>
      </c>
      <c r="G454" s="32">
        <f t="shared" si="53"/>
        <v>79.802302938444541</v>
      </c>
      <c r="H454" s="32">
        <f t="shared" si="53"/>
        <v>79.746999408370471</v>
      </c>
      <c r="I454" s="32">
        <f t="shared" si="53"/>
        <v>79.700311508410238</v>
      </c>
      <c r="J454" s="32">
        <f t="shared" si="53"/>
        <v>79.663829142133437</v>
      </c>
      <c r="K454" s="32">
        <f t="shared" si="53"/>
        <v>79.638794669951835</v>
      </c>
      <c r="L454" s="32">
        <f t="shared" si="49"/>
        <v>79.626060612909356</v>
      </c>
      <c r="M454" s="32">
        <f t="shared" si="48"/>
        <v>79.626060612909356</v>
      </c>
    </row>
    <row r="455" spans="2:13" x14ac:dyDescent="0.25">
      <c r="B455" s="31">
        <v>315</v>
      </c>
      <c r="C455" s="32">
        <f t="shared" si="51"/>
        <v>6.2999999999999536</v>
      </c>
      <c r="D455" s="35">
        <f t="shared" si="52"/>
        <v>80</v>
      </c>
      <c r="E455" s="32">
        <f t="shared" si="53"/>
        <v>79.932169403135404</v>
      </c>
      <c r="F455" s="32">
        <f t="shared" si="53"/>
        <v>79.866648695354172</v>
      </c>
      <c r="G455" s="32">
        <f t="shared" si="53"/>
        <v>79.805669107320639</v>
      </c>
      <c r="H455" s="32">
        <f t="shared" si="53"/>
        <v>79.751307223427389</v>
      </c>
      <c r="I455" s="32">
        <f t="shared" si="53"/>
        <v>79.705414275251954</v>
      </c>
      <c r="J455" s="32">
        <f t="shared" si="53"/>
        <v>79.669553089181036</v>
      </c>
      <c r="K455" s="32">
        <f t="shared" si="53"/>
        <v>79.644944877521397</v>
      </c>
      <c r="L455" s="32">
        <f t="shared" si="49"/>
        <v>79.632427641430596</v>
      </c>
      <c r="M455" s="32">
        <f t="shared" si="48"/>
        <v>79.632427641430596</v>
      </c>
    </row>
    <row r="456" spans="2:13" x14ac:dyDescent="0.25">
      <c r="B456" s="31">
        <v>316</v>
      </c>
      <c r="C456" s="32">
        <f t="shared" si="51"/>
        <v>6.3199999999999532</v>
      </c>
      <c r="D456" s="35">
        <f t="shared" si="52"/>
        <v>80</v>
      </c>
      <c r="E456" s="32">
        <f t="shared" si="53"/>
        <v>79.933324347677086</v>
      </c>
      <c r="F456" s="32">
        <f t="shared" si="53"/>
        <v>79.868919255228022</v>
      </c>
      <c r="G456" s="32">
        <f t="shared" si="53"/>
        <v>79.808977959390774</v>
      </c>
      <c r="H456" s="32">
        <f t="shared" si="53"/>
        <v>79.755541691286297</v>
      </c>
      <c r="I456" s="32">
        <f t="shared" si="53"/>
        <v>79.710430156304213</v>
      </c>
      <c r="J456" s="32">
        <f t="shared" si="53"/>
        <v>79.675179576386682</v>
      </c>
      <c r="K456" s="32">
        <f t="shared" si="53"/>
        <v>79.650990365305816</v>
      </c>
      <c r="L456" s="32">
        <f t="shared" si="49"/>
        <v>79.638686259476003</v>
      </c>
      <c r="M456" s="32">
        <f t="shared" si="48"/>
        <v>79.638686259476003</v>
      </c>
    </row>
    <row r="457" spans="2:13" x14ac:dyDescent="0.25">
      <c r="B457" s="31">
        <v>317</v>
      </c>
      <c r="C457" s="32">
        <f t="shared" si="51"/>
        <v>6.3399999999999528</v>
      </c>
      <c r="D457" s="35">
        <f t="shared" si="52"/>
        <v>80</v>
      </c>
      <c r="E457" s="32">
        <f t="shared" si="53"/>
        <v>79.934459627614018</v>
      </c>
      <c r="F457" s="32">
        <f t="shared" si="53"/>
        <v>79.87115115353393</v>
      </c>
      <c r="G457" s="32">
        <f t="shared" si="53"/>
        <v>79.812230473257159</v>
      </c>
      <c r="H457" s="32">
        <f t="shared" si="53"/>
        <v>79.7597040578475</v>
      </c>
      <c r="I457" s="32">
        <f t="shared" si="53"/>
        <v>79.715360633836497</v>
      </c>
      <c r="J457" s="32">
        <f t="shared" si="53"/>
        <v>79.680710260805014</v>
      </c>
      <c r="K457" s="32">
        <f t="shared" si="53"/>
        <v>79.656932917931343</v>
      </c>
      <c r="L457" s="32">
        <f t="shared" si="49"/>
        <v>79.644838312390903</v>
      </c>
      <c r="M457" s="32">
        <f t="shared" si="48"/>
        <v>79.644838312390903</v>
      </c>
    </row>
    <row r="458" spans="2:13" x14ac:dyDescent="0.25">
      <c r="B458" s="31">
        <v>318</v>
      </c>
      <c r="C458" s="32">
        <f t="shared" si="51"/>
        <v>6.3599999999999524</v>
      </c>
      <c r="D458" s="35">
        <f t="shared" si="52"/>
        <v>80</v>
      </c>
      <c r="E458" s="32">
        <f t="shared" si="53"/>
        <v>79.935575576766965</v>
      </c>
      <c r="F458" s="32">
        <f t="shared" si="53"/>
        <v>79.873345050435589</v>
      </c>
      <c r="G458" s="32">
        <f t="shared" si="53"/>
        <v>79.815427605690715</v>
      </c>
      <c r="H458" s="32">
        <f t="shared" si="53"/>
        <v>79.763795553546828</v>
      </c>
      <c r="I458" s="32">
        <f t="shared" si="53"/>
        <v>79.720207159326264</v>
      </c>
      <c r="J458" s="32">
        <f t="shared" si="53"/>
        <v>79.686146775883913</v>
      </c>
      <c r="K458" s="32">
        <f t="shared" si="53"/>
        <v>79.662774286597966</v>
      </c>
      <c r="L458" s="32">
        <f t="shared" si="49"/>
        <v>79.650885615161116</v>
      </c>
      <c r="M458" s="32">
        <f t="shared" si="48"/>
        <v>79.650885615161116</v>
      </c>
    </row>
    <row r="459" spans="2:13" x14ac:dyDescent="0.25">
      <c r="B459" s="31">
        <v>319</v>
      </c>
      <c r="C459" s="32">
        <f t="shared" si="51"/>
        <v>6.3799999999999519</v>
      </c>
      <c r="D459" s="35">
        <f t="shared" si="52"/>
        <v>80</v>
      </c>
      <c r="E459" s="32">
        <f t="shared" si="53"/>
        <v>79.936672525217801</v>
      </c>
      <c r="F459" s="32">
        <f t="shared" si="53"/>
        <v>79.87550159122884</v>
      </c>
      <c r="G459" s="32">
        <f t="shared" si="53"/>
        <v>79.818570301991201</v>
      </c>
      <c r="H459" s="32">
        <f t="shared" si="53"/>
        <v>79.767817382508497</v>
      </c>
      <c r="I459" s="32">
        <f t="shared" si="53"/>
        <v>79.72497116471537</v>
      </c>
      <c r="J459" s="32">
        <f t="shared" si="53"/>
        <v>79.691490722962115</v>
      </c>
      <c r="K459" s="32">
        <f t="shared" si="53"/>
        <v>79.668516195522514</v>
      </c>
      <c r="L459" s="32">
        <f t="shared" si="49"/>
        <v>79.656829950879541</v>
      </c>
      <c r="M459" s="32">
        <f t="shared" si="48"/>
        <v>79.656829950879541</v>
      </c>
    </row>
    <row r="460" spans="2:13" x14ac:dyDescent="0.25">
      <c r="B460" s="31">
        <v>320</v>
      </c>
      <c r="C460" s="32">
        <f t="shared" si="51"/>
        <v>6.3999999999999515</v>
      </c>
      <c r="D460" s="35">
        <f t="shared" si="52"/>
        <v>80</v>
      </c>
      <c r="E460" s="32">
        <f t="shared" si="53"/>
        <v>79.93775079561442</v>
      </c>
      <c r="F460" s="32">
        <f t="shared" si="53"/>
        <v>79.877621413604501</v>
      </c>
      <c r="G460" s="32">
        <f t="shared" si="53"/>
        <v>79.821659486868668</v>
      </c>
      <c r="H460" s="32">
        <f t="shared" si="53"/>
        <v>79.771770733353293</v>
      </c>
      <c r="I460" s="32">
        <f t="shared" si="53"/>
        <v>79.729654052735299</v>
      </c>
      <c r="J460" s="32">
        <f t="shared" si="53"/>
        <v>79.696743680118942</v>
      </c>
      <c r="K460" s="32">
        <f t="shared" si="53"/>
        <v>79.674160336920835</v>
      </c>
      <c r="L460" s="32">
        <f t="shared" si="49"/>
        <v>79.662673073201034</v>
      </c>
      <c r="M460" s="32">
        <f t="shared" si="48"/>
        <v>79.662673073201034</v>
      </c>
    </row>
    <row r="461" spans="2:13" x14ac:dyDescent="0.25">
      <c r="B461" s="31">
        <v>321</v>
      </c>
      <c r="C461" s="32">
        <f t="shared" si="51"/>
        <v>6.4199999999999511</v>
      </c>
      <c r="D461" s="35">
        <f t="shared" si="52"/>
        <v>80</v>
      </c>
      <c r="E461" s="32">
        <f t="shared" si="53"/>
        <v>79.938810706802258</v>
      </c>
      <c r="F461" s="32">
        <f t="shared" si="53"/>
        <v>79.879705141241544</v>
      </c>
      <c r="G461" s="32">
        <f t="shared" si="53"/>
        <v>79.82469607347889</v>
      </c>
      <c r="H461" s="32">
        <f t="shared" si="53"/>
        <v>79.775656769801984</v>
      </c>
      <c r="I461" s="32">
        <f t="shared" si="53"/>
        <v>79.734257206736117</v>
      </c>
      <c r="J461" s="32">
        <f t="shared" si="53"/>
        <v>79.701907194828067</v>
      </c>
      <c r="K461" s="32">
        <f t="shared" si="53"/>
        <v>79.679708376659988</v>
      </c>
      <c r="L461" s="32">
        <f t="shared" si="49"/>
        <v>79.668416705060935</v>
      </c>
      <c r="M461" s="32">
        <f t="shared" ref="M461:M524" si="54">L461</f>
        <v>79.668416705060935</v>
      </c>
    </row>
    <row r="462" spans="2:13" x14ac:dyDescent="0.25">
      <c r="B462" s="31">
        <v>322</v>
      </c>
      <c r="C462" s="32">
        <f t="shared" si="51"/>
        <v>6.4399999999999507</v>
      </c>
      <c r="D462" s="35">
        <f t="shared" si="52"/>
        <v>80</v>
      </c>
      <c r="E462" s="32">
        <f t="shared" si="53"/>
        <v>79.939852570620772</v>
      </c>
      <c r="F462" s="32">
        <f t="shared" si="53"/>
        <v>79.881753390140574</v>
      </c>
      <c r="G462" s="32">
        <f t="shared" si="53"/>
        <v>79.827680955521771</v>
      </c>
      <c r="H462" s="32">
        <f t="shared" si="53"/>
        <v>79.779476640107504</v>
      </c>
      <c r="I462" s="32">
        <f t="shared" si="53"/>
        <v>79.738781982315032</v>
      </c>
      <c r="J462" s="32">
        <f t="shared" si="53"/>
        <v>79.706982791698053</v>
      </c>
      <c r="K462" s="32">
        <f t="shared" si="53"/>
        <v>79.685161949944501</v>
      </c>
      <c r="L462" s="32">
        <f t="shared" ref="L462:L525" si="55">(K461+M461)/2</f>
        <v>79.674062540860461</v>
      </c>
      <c r="M462" s="32">
        <f t="shared" si="54"/>
        <v>79.674062540860461</v>
      </c>
    </row>
    <row r="463" spans="2:13" x14ac:dyDescent="0.25">
      <c r="B463" s="31">
        <v>323</v>
      </c>
      <c r="C463" s="32">
        <f t="shared" si="51"/>
        <v>6.4599999999999502</v>
      </c>
      <c r="D463" s="35">
        <f t="shared" si="52"/>
        <v>80</v>
      </c>
      <c r="E463" s="32">
        <f t="shared" si="53"/>
        <v>79.940876695070287</v>
      </c>
      <c r="F463" s="32">
        <f t="shared" si="53"/>
        <v>79.883766763071264</v>
      </c>
      <c r="G463" s="32">
        <f t="shared" si="53"/>
        <v>79.830615015124039</v>
      </c>
      <c r="H463" s="32">
        <f t="shared" si="53"/>
        <v>79.783231468918402</v>
      </c>
      <c r="I463" s="32">
        <f t="shared" si="53"/>
        <v>79.743229715902771</v>
      </c>
      <c r="J463" s="32">
        <f t="shared" si="53"/>
        <v>79.711971966129767</v>
      </c>
      <c r="K463" s="32">
        <f t="shared" si="53"/>
        <v>79.690522666279264</v>
      </c>
      <c r="L463" s="32">
        <f t="shared" si="55"/>
        <v>79.679612245402481</v>
      </c>
      <c r="M463" s="32">
        <f t="shared" si="54"/>
        <v>79.679612245402481</v>
      </c>
    </row>
    <row r="464" spans="2:13" x14ac:dyDescent="0.25">
      <c r="B464" s="31">
        <v>324</v>
      </c>
      <c r="C464" s="32">
        <f t="shared" si="51"/>
        <v>6.4799999999999498</v>
      </c>
      <c r="D464" s="35">
        <f t="shared" si="52"/>
        <v>80</v>
      </c>
      <c r="E464" s="32">
        <f t="shared" si="53"/>
        <v>79.941883381535632</v>
      </c>
      <c r="F464" s="32">
        <f t="shared" si="53"/>
        <v>79.885745855097156</v>
      </c>
      <c r="G464" s="32">
        <f t="shared" si="53"/>
        <v>79.83349911599484</v>
      </c>
      <c r="H464" s="32">
        <f t="shared" si="53"/>
        <v>79.786922365513405</v>
      </c>
      <c r="I464" s="32">
        <f t="shared" si="53"/>
        <v>79.747601717524077</v>
      </c>
      <c r="J464" s="32">
        <f t="shared" si="53"/>
        <v>79.716876191091018</v>
      </c>
      <c r="K464" s="32">
        <f t="shared" si="53"/>
        <v>79.695792105766117</v>
      </c>
      <c r="L464" s="32">
        <f t="shared" si="55"/>
        <v>79.68506745584088</v>
      </c>
      <c r="M464" s="32">
        <f t="shared" si="54"/>
        <v>79.68506745584088</v>
      </c>
    </row>
    <row r="465" spans="2:13" x14ac:dyDescent="0.25">
      <c r="B465" s="31">
        <v>325</v>
      </c>
      <c r="C465" s="32">
        <f t="shared" si="51"/>
        <v>6.4999999999999494</v>
      </c>
      <c r="D465" s="35">
        <f t="shared" si="52"/>
        <v>80</v>
      </c>
      <c r="E465" s="32">
        <f t="shared" si="53"/>
        <v>79.942872927548578</v>
      </c>
      <c r="F465" s="32">
        <f t="shared" si="53"/>
        <v>79.887691248765236</v>
      </c>
      <c r="G465" s="32">
        <f t="shared" si="53"/>
        <v>79.836334110305273</v>
      </c>
      <c r="H465" s="32">
        <f t="shared" si="53"/>
        <v>79.790550416759459</v>
      </c>
      <c r="I465" s="32">
        <f t="shared" si="53"/>
        <v>79.751899278302204</v>
      </c>
      <c r="J465" s="32">
        <f t="shared" si="53"/>
        <v>79.721696911645097</v>
      </c>
      <c r="K465" s="32">
        <f t="shared" si="53"/>
        <v>79.700971823465949</v>
      </c>
      <c r="L465" s="32">
        <f t="shared" si="55"/>
        <v>79.690429780803498</v>
      </c>
      <c r="M465" s="32">
        <f t="shared" si="54"/>
        <v>79.690429780803498</v>
      </c>
    </row>
    <row r="466" spans="2:13" x14ac:dyDescent="0.25">
      <c r="B466" s="31">
        <v>326</v>
      </c>
      <c r="C466" s="32">
        <f t="shared" si="51"/>
        <v>6.5199999999999489</v>
      </c>
      <c r="D466" s="35">
        <f t="shared" si="52"/>
        <v>80</v>
      </c>
      <c r="E466" s="32">
        <f t="shared" si="53"/>
        <v>79.943845624382618</v>
      </c>
      <c r="F466" s="32">
        <f t="shared" si="53"/>
        <v>79.889603518926918</v>
      </c>
      <c r="G466" s="32">
        <f t="shared" si="53"/>
        <v>79.839120832762347</v>
      </c>
      <c r="H466" s="32">
        <f t="shared" si="53"/>
        <v>79.794116694303739</v>
      </c>
      <c r="I466" s="32">
        <f t="shared" si="53"/>
        <v>79.756123664202278</v>
      </c>
      <c r="J466" s="32">
        <f t="shared" si="53"/>
        <v>79.726435550884077</v>
      </c>
      <c r="K466" s="32">
        <f t="shared" si="53"/>
        <v>79.706063346224298</v>
      </c>
      <c r="L466" s="32">
        <f t="shared" si="55"/>
        <v>79.695700802134724</v>
      </c>
      <c r="M466" s="32">
        <f t="shared" si="54"/>
        <v>79.695700802134724</v>
      </c>
    </row>
    <row r="467" spans="2:13" x14ac:dyDescent="0.25">
      <c r="B467" s="31">
        <v>327</v>
      </c>
      <c r="C467" s="32">
        <f t="shared" si="51"/>
        <v>6.5399999999999485</v>
      </c>
      <c r="D467" s="35">
        <f t="shared" si="52"/>
        <v>80</v>
      </c>
      <c r="E467" s="32">
        <f t="shared" si="53"/>
        <v>79.944801759463459</v>
      </c>
      <c r="F467" s="32">
        <f t="shared" si="53"/>
        <v>79.891483228572483</v>
      </c>
      <c r="G467" s="32">
        <f t="shared" si="53"/>
        <v>79.841860106615329</v>
      </c>
      <c r="H467" s="32">
        <f t="shared" si="53"/>
        <v>79.797622248482313</v>
      </c>
      <c r="I467" s="32">
        <f t="shared" si="53"/>
        <v>79.760276122593908</v>
      </c>
      <c r="J467" s="32">
        <f t="shared" si="53"/>
        <v>79.731093505213295</v>
      </c>
      <c r="K467" s="32">
        <f t="shared" si="53"/>
        <v>79.7110681765094</v>
      </c>
      <c r="L467" s="32">
        <f t="shared" si="55"/>
        <v>79.700882074179503</v>
      </c>
      <c r="M467" s="32">
        <f t="shared" si="54"/>
        <v>79.700882074179503</v>
      </c>
    </row>
    <row r="468" spans="2:13" x14ac:dyDescent="0.25">
      <c r="B468" s="31">
        <v>328</v>
      </c>
      <c r="C468" s="32">
        <f t="shared" si="51"/>
        <v>6.5599999999999481</v>
      </c>
      <c r="D468" s="35">
        <f t="shared" si="52"/>
        <v>80</v>
      </c>
      <c r="E468" s="32">
        <f t="shared" si="53"/>
        <v>79.945741614286248</v>
      </c>
      <c r="F468" s="32">
        <f t="shared" si="53"/>
        <v>79.893330933039394</v>
      </c>
      <c r="G468" s="32">
        <f t="shared" si="53"/>
        <v>79.844552738527398</v>
      </c>
      <c r="H468" s="32">
        <f t="shared" si="53"/>
        <v>79.801068114604618</v>
      </c>
      <c r="I468" s="32">
        <f t="shared" si="53"/>
        <v>79.764357876847811</v>
      </c>
      <c r="J468" s="32">
        <f t="shared" si="53"/>
        <v>79.735672149551647</v>
      </c>
      <c r="K468" s="32">
        <f t="shared" si="53"/>
        <v>79.715987789696399</v>
      </c>
      <c r="L468" s="32">
        <f t="shared" si="55"/>
        <v>79.705975125344452</v>
      </c>
      <c r="M468" s="32">
        <f t="shared" si="54"/>
        <v>79.705975125344452</v>
      </c>
    </row>
    <row r="469" spans="2:13" x14ac:dyDescent="0.25">
      <c r="B469" s="31">
        <v>329</v>
      </c>
      <c r="C469" s="32">
        <f t="shared" si="51"/>
        <v>6.5799999999999477</v>
      </c>
      <c r="D469" s="35">
        <f t="shared" si="52"/>
        <v>80</v>
      </c>
      <c r="E469" s="32">
        <f t="shared" si="53"/>
        <v>79.946665466519704</v>
      </c>
      <c r="F469" s="32">
        <f t="shared" si="53"/>
        <v>79.895147176406823</v>
      </c>
      <c r="G469" s="32">
        <f t="shared" si="53"/>
        <v>79.847199523822013</v>
      </c>
      <c r="H469" s="32">
        <f t="shared" si="53"/>
        <v>79.804455307687604</v>
      </c>
      <c r="I469" s="32">
        <f t="shared" si="53"/>
        <v>79.768370132078132</v>
      </c>
      <c r="J469" s="32">
        <f t="shared" si="53"/>
        <v>79.740172833272112</v>
      </c>
      <c r="K469" s="32">
        <f t="shared" si="53"/>
        <v>79.720823637448049</v>
      </c>
      <c r="L469" s="32">
        <f t="shared" si="55"/>
        <v>79.710981457520433</v>
      </c>
      <c r="M469" s="32">
        <f t="shared" si="54"/>
        <v>79.710981457520433</v>
      </c>
    </row>
    <row r="470" spans="2:13" x14ac:dyDescent="0.25">
      <c r="B470" s="31">
        <v>330</v>
      </c>
      <c r="C470" s="32">
        <f t="shared" si="51"/>
        <v>6.5999999999999472</v>
      </c>
      <c r="D470" s="35">
        <f t="shared" si="52"/>
        <v>80</v>
      </c>
      <c r="E470" s="32">
        <f t="shared" si="53"/>
        <v>79.947573588203412</v>
      </c>
      <c r="F470" s="32">
        <f t="shared" si="53"/>
        <v>79.896932495170859</v>
      </c>
      <c r="G470" s="32">
        <f t="shared" si="53"/>
        <v>79.849801242047221</v>
      </c>
      <c r="H470" s="32">
        <f t="shared" si="53"/>
        <v>79.807784827950073</v>
      </c>
      <c r="I470" s="32">
        <f t="shared" si="53"/>
        <v>79.772314070479865</v>
      </c>
      <c r="J470" s="32">
        <f t="shared" si="53"/>
        <v>79.744596884763098</v>
      </c>
      <c r="K470" s="32">
        <f t="shared" si="53"/>
        <v>79.725577145396272</v>
      </c>
      <c r="L470" s="32">
        <f t="shared" si="55"/>
        <v>79.715902547484234</v>
      </c>
      <c r="M470" s="32">
        <f t="shared" si="54"/>
        <v>79.715902547484234</v>
      </c>
    </row>
    <row r="471" spans="2:13" x14ac:dyDescent="0.25">
      <c r="B471" s="31">
        <v>331</v>
      </c>
      <c r="C471" s="32">
        <f t="shared" si="51"/>
        <v>6.6199999999999468</v>
      </c>
      <c r="D471" s="35">
        <f t="shared" si="52"/>
        <v>80</v>
      </c>
      <c r="E471" s="32">
        <f t="shared" si="53"/>
        <v>79.948466247585429</v>
      </c>
      <c r="F471" s="32">
        <f t="shared" si="53"/>
        <v>79.898687415125323</v>
      </c>
      <c r="G471" s="32">
        <f t="shared" si="53"/>
        <v>79.852358661560459</v>
      </c>
      <c r="H471" s="32">
        <f t="shared" si="53"/>
        <v>79.811057656263543</v>
      </c>
      <c r="I471" s="32">
        <f t="shared" si="53"/>
        <v>79.776190856356578</v>
      </c>
      <c r="J471" s="32">
        <f t="shared" si="53"/>
        <v>79.748945607938069</v>
      </c>
      <c r="K471" s="32">
        <f t="shared" si="53"/>
        <v>79.730249716123666</v>
      </c>
      <c r="L471" s="32">
        <f t="shared" si="55"/>
        <v>79.720739846440253</v>
      </c>
      <c r="M471" s="32">
        <f t="shared" si="54"/>
        <v>79.720739846440253</v>
      </c>
    </row>
    <row r="472" spans="2:13" x14ac:dyDescent="0.25">
      <c r="B472" s="31">
        <v>332</v>
      </c>
      <c r="C472" s="32">
        <f t="shared" si="51"/>
        <v>6.6399999999999464</v>
      </c>
      <c r="D472" s="35">
        <f t="shared" si="52"/>
        <v>80</v>
      </c>
      <c r="E472" s="32">
        <f t="shared" si="53"/>
        <v>79.949343707562662</v>
      </c>
      <c r="F472" s="32">
        <f t="shared" si="53"/>
        <v>79.900412454572944</v>
      </c>
      <c r="G472" s="32">
        <f t="shared" si="53"/>
        <v>79.854872535694426</v>
      </c>
      <c r="H472" s="32">
        <f t="shared" si="53"/>
        <v>79.814274758958518</v>
      </c>
      <c r="I472" s="32">
        <f t="shared" si="53"/>
        <v>79.780001632100806</v>
      </c>
      <c r="J472" s="32">
        <f t="shared" si="53"/>
        <v>79.753220286240122</v>
      </c>
      <c r="K472" s="32">
        <f t="shared" si="53"/>
        <v>79.734842727189161</v>
      </c>
      <c r="L472" s="32">
        <f t="shared" si="55"/>
        <v>79.725494781281952</v>
      </c>
      <c r="M472" s="32">
        <f t="shared" si="54"/>
        <v>79.725494781281952</v>
      </c>
    </row>
    <row r="473" spans="2:13" x14ac:dyDescent="0.25">
      <c r="B473" s="31">
        <v>333</v>
      </c>
      <c r="C473" s="32">
        <f t="shared" si="51"/>
        <v>6.659999999999946</v>
      </c>
      <c r="D473" s="35">
        <f t="shared" si="52"/>
        <v>80</v>
      </c>
      <c r="E473" s="32">
        <f t="shared" si="53"/>
        <v>79.950206227286472</v>
      </c>
      <c r="F473" s="32">
        <f t="shared" si="53"/>
        <v>79.902108121628544</v>
      </c>
      <c r="G473" s="32">
        <f t="shared" si="53"/>
        <v>79.857343606765738</v>
      </c>
      <c r="H473" s="32">
        <f t="shared" si="53"/>
        <v>79.817437083897616</v>
      </c>
      <c r="I473" s="32">
        <f t="shared" si="53"/>
        <v>79.783747522599327</v>
      </c>
      <c r="J473" s="32">
        <f t="shared" si="53"/>
        <v>79.757422179644976</v>
      </c>
      <c r="K473" s="32">
        <f t="shared" si="53"/>
        <v>79.739357533761037</v>
      </c>
      <c r="L473" s="32">
        <f t="shared" si="55"/>
        <v>79.730168754235564</v>
      </c>
      <c r="M473" s="32">
        <f t="shared" si="54"/>
        <v>79.730168754235564</v>
      </c>
    </row>
    <row r="474" spans="2:13" x14ac:dyDescent="0.25">
      <c r="B474" s="31">
        <v>334</v>
      </c>
      <c r="C474" s="32">
        <f t="shared" si="51"/>
        <v>6.6799999999999455</v>
      </c>
      <c r="D474" s="35">
        <f t="shared" si="52"/>
        <v>80</v>
      </c>
      <c r="E474" s="32">
        <f t="shared" si="53"/>
        <v>79.951054060814272</v>
      </c>
      <c r="F474" s="32">
        <f t="shared" si="53"/>
        <v>79.903774917026112</v>
      </c>
      <c r="G474" s="32">
        <f t="shared" si="53"/>
        <v>79.859772602763087</v>
      </c>
      <c r="H474" s="32">
        <f t="shared" si="53"/>
        <v>79.820545564682533</v>
      </c>
      <c r="I474" s="32">
        <f t="shared" si="53"/>
        <v>79.787429631771289</v>
      </c>
      <c r="J474" s="32">
        <f t="shared" si="53"/>
        <v>79.761552528180175</v>
      </c>
      <c r="K474" s="32">
        <f t="shared" si="53"/>
        <v>79.74379546694027</v>
      </c>
      <c r="L474" s="32">
        <f t="shared" si="55"/>
        <v>79.734763143998293</v>
      </c>
      <c r="M474" s="32">
        <f t="shared" si="54"/>
        <v>79.734763143998293</v>
      </c>
    </row>
    <row r="475" spans="2:13" x14ac:dyDescent="0.25">
      <c r="B475" s="31">
        <v>335</v>
      </c>
      <c r="C475" s="32">
        <f t="shared" si="51"/>
        <v>6.6999999999999451</v>
      </c>
      <c r="D475" s="35">
        <f t="shared" si="52"/>
        <v>80</v>
      </c>
      <c r="E475" s="32">
        <f t="shared" si="53"/>
        <v>79.951887458513056</v>
      </c>
      <c r="F475" s="32">
        <f t="shared" si="53"/>
        <v>79.905413331788679</v>
      </c>
      <c r="G475" s="32">
        <f t="shared" si="53"/>
        <v>79.862160240854323</v>
      </c>
      <c r="H475" s="32">
        <f t="shared" si="53"/>
        <v>79.823601117267188</v>
      </c>
      <c r="I475" s="32">
        <f t="shared" si="53"/>
        <v>79.791049046431354</v>
      </c>
      <c r="J475" s="32">
        <f t="shared" si="53"/>
        <v>79.765612549355779</v>
      </c>
      <c r="K475" s="32">
        <f t="shared" si="53"/>
        <v>79.748157836089234</v>
      </c>
      <c r="L475" s="32">
        <f t="shared" si="55"/>
        <v>79.739279305469282</v>
      </c>
      <c r="M475" s="32">
        <f t="shared" si="54"/>
        <v>79.739279305469282</v>
      </c>
    </row>
    <row r="476" spans="2:13" x14ac:dyDescent="0.25">
      <c r="B476" s="31">
        <v>336</v>
      </c>
      <c r="C476" s="32">
        <f t="shared" si="51"/>
        <v>6.7199999999999447</v>
      </c>
      <c r="D476" s="35">
        <f t="shared" si="52"/>
        <v>80</v>
      </c>
      <c r="E476" s="32">
        <f t="shared" si="53"/>
        <v>79.95270666589434</v>
      </c>
      <c r="F476" s="32">
        <f t="shared" si="53"/>
        <v>79.907023849683696</v>
      </c>
      <c r="G476" s="32">
        <f t="shared" si="53"/>
        <v>79.864507224527927</v>
      </c>
      <c r="H476" s="32">
        <f t="shared" si="53"/>
        <v>79.826604643642838</v>
      </c>
      <c r="I476" s="32">
        <f t="shared" si="53"/>
        <v>79.794606833311491</v>
      </c>
      <c r="J476" s="32">
        <f t="shared" si="53"/>
        <v>79.769603441260301</v>
      </c>
      <c r="K476" s="32">
        <f t="shared" si="53"/>
        <v>79.752445927412538</v>
      </c>
      <c r="L476" s="32">
        <f t="shared" si="55"/>
        <v>79.743718570779265</v>
      </c>
      <c r="M476" s="32">
        <f t="shared" si="54"/>
        <v>79.743718570779265</v>
      </c>
    </row>
    <row r="477" spans="2:13" x14ac:dyDescent="0.25">
      <c r="B477" s="31">
        <v>337</v>
      </c>
      <c r="C477" s="32">
        <f t="shared" si="51"/>
        <v>6.7399999999999443</v>
      </c>
      <c r="D477" s="35">
        <f t="shared" si="52"/>
        <v>80</v>
      </c>
      <c r="E477" s="32">
        <f t="shared" si="53"/>
        <v>79.953511924841848</v>
      </c>
      <c r="F477" s="32">
        <f t="shared" si="53"/>
        <v>79.908606945211133</v>
      </c>
      <c r="G477" s="32">
        <f t="shared" si="53"/>
        <v>79.866814246663267</v>
      </c>
      <c r="H477" s="32">
        <f t="shared" si="53"/>
        <v>79.829557028919709</v>
      </c>
      <c r="I477" s="32">
        <f t="shared" si="53"/>
        <v>79.79810404245157</v>
      </c>
      <c r="J477" s="32">
        <f t="shared" si="53"/>
        <v>79.773526380362014</v>
      </c>
      <c r="K477" s="32">
        <f t="shared" si="53"/>
        <v>79.756661006019783</v>
      </c>
      <c r="L477" s="32">
        <f t="shared" si="55"/>
        <v>79.748082249095901</v>
      </c>
      <c r="M477" s="32">
        <f t="shared" si="54"/>
        <v>79.748082249095901</v>
      </c>
    </row>
    <row r="478" spans="2:13" x14ac:dyDescent="0.25">
      <c r="B478" s="31">
        <v>338</v>
      </c>
      <c r="C478" s="32">
        <f t="shared" si="51"/>
        <v>6.7599999999999438</v>
      </c>
      <c r="D478" s="35">
        <f t="shared" si="52"/>
        <v>80</v>
      </c>
      <c r="E478" s="32">
        <f t="shared" si="53"/>
        <v>79.954303472605574</v>
      </c>
      <c r="F478" s="32">
        <f t="shared" si="53"/>
        <v>79.910163085752558</v>
      </c>
      <c r="G478" s="32">
        <f t="shared" si="53"/>
        <v>79.869081987065414</v>
      </c>
      <c r="H478" s="32">
        <f t="shared" si="53"/>
        <v>79.832459144557419</v>
      </c>
      <c r="I478" s="32">
        <f t="shared" si="53"/>
        <v>79.801541704640869</v>
      </c>
      <c r="J478" s="32">
        <f t="shared" si="53"/>
        <v>79.777382524235676</v>
      </c>
      <c r="K478" s="32">
        <f t="shared" si="53"/>
        <v>79.760804314728958</v>
      </c>
      <c r="L478" s="32">
        <f t="shared" si="55"/>
        <v>79.752371627557835</v>
      </c>
      <c r="M478" s="32">
        <f t="shared" si="54"/>
        <v>79.752371627557835</v>
      </c>
    </row>
    <row r="479" spans="2:13" x14ac:dyDescent="0.25">
      <c r="B479" s="31">
        <v>339</v>
      </c>
      <c r="C479" s="32">
        <f t="shared" si="51"/>
        <v>6.7799999999999434</v>
      </c>
      <c r="D479" s="35">
        <f t="shared" si="52"/>
        <v>80</v>
      </c>
      <c r="E479" s="32">
        <f t="shared" si="53"/>
        <v>79.955081542876286</v>
      </c>
      <c r="F479" s="32">
        <f t="shared" si="53"/>
        <v>79.911692729835494</v>
      </c>
      <c r="G479" s="32">
        <f t="shared" si="53"/>
        <v>79.871311115154981</v>
      </c>
      <c r="H479" s="32">
        <f t="shared" si="53"/>
        <v>79.835311845853141</v>
      </c>
      <c r="I479" s="32">
        <f t="shared" si="53"/>
        <v>79.80492083439654</v>
      </c>
      <c r="J479" s="32">
        <f t="shared" ref="E479:K516" si="56">(I478+K478)/2</f>
        <v>79.78117300968492</v>
      </c>
      <c r="K479" s="32">
        <f t="shared" si="56"/>
        <v>79.764877075896749</v>
      </c>
      <c r="L479" s="32">
        <f t="shared" si="55"/>
        <v>79.756587971143404</v>
      </c>
      <c r="M479" s="32">
        <f t="shared" si="54"/>
        <v>79.756587971143404</v>
      </c>
    </row>
    <row r="480" spans="2:13" x14ac:dyDescent="0.25">
      <c r="B480" s="31">
        <v>340</v>
      </c>
      <c r="C480" s="32">
        <f t="shared" si="51"/>
        <v>6.799999999999943</v>
      </c>
      <c r="D480" s="35">
        <f t="shared" si="52"/>
        <v>80</v>
      </c>
      <c r="E480" s="32">
        <f t="shared" si="56"/>
        <v>79.955846364917747</v>
      </c>
      <c r="F480" s="32">
        <f t="shared" si="56"/>
        <v>79.913196329015634</v>
      </c>
      <c r="G480" s="32">
        <f t="shared" si="56"/>
        <v>79.873502287844317</v>
      </c>
      <c r="H480" s="32">
        <f t="shared" si="56"/>
        <v>79.838115974775761</v>
      </c>
      <c r="I480" s="32">
        <f t="shared" si="56"/>
        <v>79.808242427769031</v>
      </c>
      <c r="J480" s="32">
        <f t="shared" si="56"/>
        <v>79.784898955146645</v>
      </c>
      <c r="K480" s="32">
        <f t="shared" si="56"/>
        <v>79.768880490414162</v>
      </c>
      <c r="L480" s="32">
        <f t="shared" si="55"/>
        <v>79.760732523520076</v>
      </c>
      <c r="M480" s="32">
        <f t="shared" si="54"/>
        <v>79.760732523520076</v>
      </c>
    </row>
    <row r="481" spans="2:13" x14ac:dyDescent="0.25">
      <c r="B481" s="31">
        <v>341</v>
      </c>
      <c r="C481" s="32">
        <f t="shared" si="51"/>
        <v>6.8199999999999426</v>
      </c>
      <c r="D481" s="35">
        <f t="shared" si="52"/>
        <v>80</v>
      </c>
      <c r="E481" s="32">
        <f t="shared" si="56"/>
        <v>79.956598164507824</v>
      </c>
      <c r="F481" s="32">
        <f t="shared" si="56"/>
        <v>79.914674326381032</v>
      </c>
      <c r="G481" s="32">
        <f t="shared" si="56"/>
        <v>79.875656151895697</v>
      </c>
      <c r="H481" s="32">
        <f t="shared" si="56"/>
        <v>79.840872357806674</v>
      </c>
      <c r="I481" s="32">
        <f t="shared" si="56"/>
        <v>79.81150746496121</v>
      </c>
      <c r="J481" s="32">
        <f t="shared" si="56"/>
        <v>79.788561459091596</v>
      </c>
      <c r="K481" s="32">
        <f t="shared" si="56"/>
        <v>79.772815739333367</v>
      </c>
      <c r="L481" s="32">
        <f t="shared" si="55"/>
        <v>79.764806506967119</v>
      </c>
      <c r="M481" s="32">
        <f t="shared" si="54"/>
        <v>79.764806506967119</v>
      </c>
    </row>
    <row r="482" spans="2:13" x14ac:dyDescent="0.25">
      <c r="B482" s="31">
        <v>342</v>
      </c>
      <c r="C482" s="32">
        <f t="shared" si="51"/>
        <v>6.8399999999999421</v>
      </c>
      <c r="D482" s="35">
        <f t="shared" si="52"/>
        <v>80</v>
      </c>
      <c r="E482" s="32">
        <f t="shared" si="56"/>
        <v>79.957337163190516</v>
      </c>
      <c r="F482" s="32">
        <f t="shared" si="56"/>
        <v>79.91612715820176</v>
      </c>
      <c r="G482" s="32">
        <f t="shared" si="56"/>
        <v>79.87777334209386</v>
      </c>
      <c r="H482" s="32">
        <f t="shared" si="56"/>
        <v>79.843581808428453</v>
      </c>
      <c r="I482" s="32">
        <f t="shared" si="56"/>
        <v>79.814716908449128</v>
      </c>
      <c r="J482" s="32">
        <f t="shared" si="56"/>
        <v>79.792161602147289</v>
      </c>
      <c r="K482" s="32">
        <f t="shared" si="56"/>
        <v>79.776683983029358</v>
      </c>
      <c r="L482" s="32">
        <f t="shared" si="55"/>
        <v>79.768811123150243</v>
      </c>
      <c r="M482" s="32">
        <f t="shared" si="54"/>
        <v>79.768811123150243</v>
      </c>
    </row>
    <row r="483" spans="2:13" x14ac:dyDescent="0.25">
      <c r="B483" s="31">
        <v>343</v>
      </c>
      <c r="C483" s="32">
        <f t="shared" si="51"/>
        <v>6.8599999999999417</v>
      </c>
      <c r="D483" s="35">
        <f t="shared" si="52"/>
        <v>80</v>
      </c>
      <c r="E483" s="32">
        <f t="shared" si="56"/>
        <v>79.95806357910088</v>
      </c>
      <c r="F483" s="32">
        <f t="shared" si="56"/>
        <v>79.917555252642188</v>
      </c>
      <c r="G483" s="32">
        <f t="shared" si="56"/>
        <v>79.879854483315114</v>
      </c>
      <c r="H483" s="32">
        <f t="shared" si="56"/>
        <v>79.846245125271494</v>
      </c>
      <c r="I483" s="32">
        <f t="shared" si="56"/>
        <v>79.817871705287871</v>
      </c>
      <c r="J483" s="32">
        <f t="shared" si="56"/>
        <v>79.795700445739243</v>
      </c>
      <c r="K483" s="32">
        <f t="shared" si="56"/>
        <v>79.780486362648759</v>
      </c>
      <c r="L483" s="32">
        <f t="shared" si="55"/>
        <v>79.7727475530898</v>
      </c>
      <c r="M483" s="32">
        <f t="shared" si="54"/>
        <v>79.7727475530898</v>
      </c>
    </row>
    <row r="484" spans="2:13" x14ac:dyDescent="0.25">
      <c r="B484" s="31">
        <v>344</v>
      </c>
      <c r="C484" s="32">
        <f t="shared" si="51"/>
        <v>6.8799999999999413</v>
      </c>
      <c r="D484" s="35">
        <f t="shared" si="52"/>
        <v>80</v>
      </c>
      <c r="E484" s="32">
        <f t="shared" si="56"/>
        <v>79.958777626321094</v>
      </c>
      <c r="F484" s="32">
        <f t="shared" si="56"/>
        <v>79.918959031208004</v>
      </c>
      <c r="G484" s="32">
        <f t="shared" si="56"/>
        <v>79.881900188956848</v>
      </c>
      <c r="H484" s="32">
        <f t="shared" si="56"/>
        <v>79.848863094301493</v>
      </c>
      <c r="I484" s="32">
        <f t="shared" si="56"/>
        <v>79.820972785505376</v>
      </c>
      <c r="J484" s="32">
        <f t="shared" si="56"/>
        <v>79.799179033968315</v>
      </c>
      <c r="K484" s="32">
        <f t="shared" si="56"/>
        <v>79.784223999414522</v>
      </c>
      <c r="L484" s="32">
        <f t="shared" si="55"/>
        <v>79.77661695786928</v>
      </c>
      <c r="M484" s="32">
        <f t="shared" si="54"/>
        <v>79.77661695786928</v>
      </c>
    </row>
    <row r="485" spans="2:13" x14ac:dyDescent="0.25">
      <c r="B485" s="31">
        <v>345</v>
      </c>
      <c r="C485" s="32">
        <f t="shared" si="51"/>
        <v>6.8999999999999408</v>
      </c>
      <c r="D485" s="35">
        <f t="shared" si="52"/>
        <v>80</v>
      </c>
      <c r="E485" s="32">
        <f t="shared" si="56"/>
        <v>79.959479515604002</v>
      </c>
      <c r="F485" s="32">
        <f t="shared" si="56"/>
        <v>79.920338907638978</v>
      </c>
      <c r="G485" s="32">
        <f t="shared" si="56"/>
        <v>79.883911062754748</v>
      </c>
      <c r="H485" s="32">
        <f t="shared" si="56"/>
        <v>79.851436487231112</v>
      </c>
      <c r="I485" s="32">
        <f t="shared" si="56"/>
        <v>79.824021064134911</v>
      </c>
      <c r="J485" s="32">
        <f t="shared" si="56"/>
        <v>79.802598392459942</v>
      </c>
      <c r="K485" s="32">
        <f t="shared" si="56"/>
        <v>79.787897995918797</v>
      </c>
      <c r="L485" s="32">
        <f t="shared" si="55"/>
        <v>79.780420478641901</v>
      </c>
      <c r="M485" s="32">
        <f t="shared" si="54"/>
        <v>79.780420478641901</v>
      </c>
    </row>
    <row r="486" spans="2:13" x14ac:dyDescent="0.25">
      <c r="B486" s="31">
        <v>346</v>
      </c>
      <c r="C486" s="32">
        <f t="shared" si="51"/>
        <v>6.9199999999999404</v>
      </c>
      <c r="D486" s="35">
        <f t="shared" si="52"/>
        <v>80</v>
      </c>
      <c r="E486" s="32">
        <f t="shared" si="56"/>
        <v>79.960169453819489</v>
      </c>
      <c r="F486" s="32">
        <f t="shared" si="56"/>
        <v>79.921695289179382</v>
      </c>
      <c r="G486" s="32">
        <f t="shared" si="56"/>
        <v>79.885887697435038</v>
      </c>
      <c r="H486" s="32">
        <f t="shared" si="56"/>
        <v>79.85396606344483</v>
      </c>
      <c r="I486" s="32">
        <f t="shared" si="56"/>
        <v>79.82701743984552</v>
      </c>
      <c r="J486" s="32">
        <f t="shared" si="56"/>
        <v>79.805959530026854</v>
      </c>
      <c r="K486" s="32">
        <f t="shared" si="56"/>
        <v>79.791509435550921</v>
      </c>
      <c r="L486" s="32">
        <f t="shared" si="55"/>
        <v>79.784159237280349</v>
      </c>
      <c r="M486" s="32">
        <f t="shared" si="54"/>
        <v>79.784159237280349</v>
      </c>
    </row>
    <row r="487" spans="2:13" x14ac:dyDescent="0.25">
      <c r="B487" s="31">
        <v>347</v>
      </c>
      <c r="C487" s="32">
        <f t="shared" si="51"/>
        <v>6.93999999999994</v>
      </c>
      <c r="D487" s="35">
        <f t="shared" si="52"/>
        <v>80</v>
      </c>
      <c r="E487" s="32">
        <f t="shared" si="56"/>
        <v>79.960847644589691</v>
      </c>
      <c r="F487" s="32">
        <f t="shared" si="56"/>
        <v>79.923028575627256</v>
      </c>
      <c r="G487" s="32">
        <f t="shared" si="56"/>
        <v>79.887830676312106</v>
      </c>
      <c r="H487" s="32">
        <f t="shared" si="56"/>
        <v>79.856452568640279</v>
      </c>
      <c r="I487" s="32">
        <f t="shared" si="56"/>
        <v>79.829962796735842</v>
      </c>
      <c r="J487" s="32">
        <f t="shared" si="56"/>
        <v>79.80926343769822</v>
      </c>
      <c r="K487" s="32">
        <f t="shared" si="56"/>
        <v>79.795059383653609</v>
      </c>
      <c r="L487" s="32">
        <f t="shared" si="55"/>
        <v>79.787834336415642</v>
      </c>
      <c r="M487" s="32">
        <f t="shared" si="54"/>
        <v>79.787834336415642</v>
      </c>
    </row>
    <row r="488" spans="2:13" x14ac:dyDescent="0.25">
      <c r="B488" s="31">
        <v>348</v>
      </c>
      <c r="C488" s="32">
        <f t="shared" si="51"/>
        <v>6.9599999999999396</v>
      </c>
      <c r="D488" s="35">
        <f t="shared" si="52"/>
        <v>80</v>
      </c>
      <c r="E488" s="32">
        <f t="shared" si="56"/>
        <v>79.961514287813628</v>
      </c>
      <c r="F488" s="32">
        <f t="shared" si="56"/>
        <v>79.924339160450899</v>
      </c>
      <c r="G488" s="32">
        <f t="shared" si="56"/>
        <v>79.889740572133775</v>
      </c>
      <c r="H488" s="32">
        <f t="shared" si="56"/>
        <v>79.858896736523974</v>
      </c>
      <c r="I488" s="32">
        <f t="shared" si="56"/>
        <v>79.83285800316925</v>
      </c>
      <c r="J488" s="32">
        <f t="shared" si="56"/>
        <v>79.812511090194732</v>
      </c>
      <c r="K488" s="32">
        <f t="shared" si="56"/>
        <v>79.798548887056938</v>
      </c>
      <c r="L488" s="32">
        <f t="shared" si="55"/>
        <v>79.791446860034625</v>
      </c>
      <c r="M488" s="32">
        <f t="shared" si="54"/>
        <v>79.791446860034625</v>
      </c>
    </row>
    <row r="489" spans="2:13" x14ac:dyDescent="0.25">
      <c r="B489" s="31">
        <v>349</v>
      </c>
      <c r="C489" s="32">
        <f t="shared" si="51"/>
        <v>6.9799999999999391</v>
      </c>
      <c r="D489" s="35">
        <f t="shared" si="52"/>
        <v>80</v>
      </c>
      <c r="E489" s="32">
        <f t="shared" si="56"/>
        <v>79.962169580225449</v>
      </c>
      <c r="F489" s="32">
        <f t="shared" si="56"/>
        <v>79.925627429973702</v>
      </c>
      <c r="G489" s="32">
        <f t="shared" si="56"/>
        <v>79.891617948487436</v>
      </c>
      <c r="H489" s="32">
        <f t="shared" si="56"/>
        <v>79.861299287651519</v>
      </c>
      <c r="I489" s="32">
        <f t="shared" si="56"/>
        <v>79.835703913359353</v>
      </c>
      <c r="J489" s="32">
        <f t="shared" si="56"/>
        <v>79.815703445113087</v>
      </c>
      <c r="K489" s="32">
        <f t="shared" si="56"/>
        <v>79.801978975114679</v>
      </c>
      <c r="L489" s="32">
        <f t="shared" si="55"/>
        <v>79.794997873545782</v>
      </c>
      <c r="M489" s="32">
        <f t="shared" si="54"/>
        <v>79.794997873545782</v>
      </c>
    </row>
    <row r="490" spans="2:13" x14ac:dyDescent="0.25">
      <c r="B490" s="31">
        <v>350</v>
      </c>
      <c r="C490" s="32">
        <f t="shared" si="51"/>
        <v>6.9999999999999387</v>
      </c>
      <c r="D490" s="35">
        <f t="shared" si="52"/>
        <v>80</v>
      </c>
      <c r="E490" s="32">
        <f t="shared" si="56"/>
        <v>79.962813714986851</v>
      </c>
      <c r="F490" s="32">
        <f t="shared" si="56"/>
        <v>79.926893764356436</v>
      </c>
      <c r="G490" s="32">
        <f t="shared" si="56"/>
        <v>79.89346335881261</v>
      </c>
      <c r="H490" s="32">
        <f t="shared" si="56"/>
        <v>79.863660930923402</v>
      </c>
      <c r="I490" s="32">
        <f t="shared" si="56"/>
        <v>79.838501366382303</v>
      </c>
      <c r="J490" s="32">
        <f t="shared" si="56"/>
        <v>79.818841444237023</v>
      </c>
      <c r="K490" s="32">
        <f t="shared" si="56"/>
        <v>79.805350659329434</v>
      </c>
      <c r="L490" s="32">
        <f t="shared" si="55"/>
        <v>79.79848842433023</v>
      </c>
      <c r="M490" s="32">
        <f t="shared" si="54"/>
        <v>79.79848842433023</v>
      </c>
    </row>
    <row r="491" spans="2:13" x14ac:dyDescent="0.25">
      <c r="B491" s="31">
        <v>351</v>
      </c>
      <c r="C491" s="32">
        <f t="shared" si="51"/>
        <v>7.0199999999999383</v>
      </c>
      <c r="D491" s="35">
        <f t="shared" si="52"/>
        <v>80</v>
      </c>
      <c r="E491" s="32">
        <f t="shared" si="56"/>
        <v>79.963446882178218</v>
      </c>
      <c r="F491" s="32">
        <f t="shared" si="56"/>
        <v>79.928138536899723</v>
      </c>
      <c r="G491" s="32">
        <f t="shared" si="56"/>
        <v>79.895277347639919</v>
      </c>
      <c r="H491" s="32">
        <f t="shared" si="56"/>
        <v>79.865982362597464</v>
      </c>
      <c r="I491" s="32">
        <f t="shared" si="56"/>
        <v>79.841251187580212</v>
      </c>
      <c r="J491" s="32">
        <f t="shared" si="56"/>
        <v>79.821926012855869</v>
      </c>
      <c r="K491" s="32">
        <f t="shared" si="56"/>
        <v>79.808664934283627</v>
      </c>
      <c r="L491" s="32">
        <f t="shared" si="55"/>
        <v>79.801919541829832</v>
      </c>
      <c r="M491" s="32">
        <f t="shared" si="54"/>
        <v>79.801919541829832</v>
      </c>
    </row>
    <row r="492" spans="2:13" x14ac:dyDescent="0.25">
      <c r="B492" s="31">
        <v>352</v>
      </c>
      <c r="C492" s="32">
        <f t="shared" si="51"/>
        <v>7.0399999999999379</v>
      </c>
      <c r="D492" s="35">
        <f t="shared" si="52"/>
        <v>80</v>
      </c>
      <c r="E492" s="32">
        <f t="shared" si="56"/>
        <v>79.964069268449862</v>
      </c>
      <c r="F492" s="32">
        <f t="shared" si="56"/>
        <v>79.929362114909068</v>
      </c>
      <c r="G492" s="32">
        <f t="shared" si="56"/>
        <v>79.897060449748594</v>
      </c>
      <c r="H492" s="32">
        <f t="shared" si="56"/>
        <v>79.868264267610073</v>
      </c>
      <c r="I492" s="32">
        <f t="shared" si="56"/>
        <v>79.843954187726666</v>
      </c>
      <c r="J492" s="32">
        <f t="shared" si="56"/>
        <v>79.82495806093192</v>
      </c>
      <c r="K492" s="32">
        <f t="shared" si="56"/>
        <v>79.811922777342858</v>
      </c>
      <c r="L492" s="32">
        <f t="shared" si="55"/>
        <v>79.805292238056722</v>
      </c>
      <c r="M492" s="32">
        <f t="shared" si="54"/>
        <v>79.805292238056722</v>
      </c>
    </row>
    <row r="493" spans="2:13" x14ac:dyDescent="0.25">
      <c r="B493" s="31">
        <v>353</v>
      </c>
      <c r="C493" s="32">
        <f t="shared" si="51"/>
        <v>7.0599999999999374</v>
      </c>
      <c r="D493" s="35">
        <f t="shared" si="52"/>
        <v>80</v>
      </c>
      <c r="E493" s="32">
        <f t="shared" si="56"/>
        <v>79.964681057454527</v>
      </c>
      <c r="F493" s="32">
        <f t="shared" si="56"/>
        <v>79.930564859099235</v>
      </c>
      <c r="G493" s="32">
        <f t="shared" si="56"/>
        <v>79.898813191259563</v>
      </c>
      <c r="H493" s="32">
        <f t="shared" si="56"/>
        <v>79.870507318737623</v>
      </c>
      <c r="I493" s="32">
        <f t="shared" si="56"/>
        <v>79.846611164270996</v>
      </c>
      <c r="J493" s="32">
        <f t="shared" si="56"/>
        <v>79.827938482534762</v>
      </c>
      <c r="K493" s="32">
        <f t="shared" si="56"/>
        <v>79.815125149494321</v>
      </c>
      <c r="L493" s="32">
        <f t="shared" si="55"/>
        <v>79.80860750769979</v>
      </c>
      <c r="M493" s="32">
        <f t="shared" si="54"/>
        <v>79.80860750769979</v>
      </c>
    </row>
    <row r="494" spans="2:13" x14ac:dyDescent="0.25">
      <c r="B494" s="31">
        <v>354</v>
      </c>
      <c r="C494" s="32">
        <f t="shared" si="51"/>
        <v>7.079999999999937</v>
      </c>
      <c r="D494" s="35">
        <f t="shared" si="52"/>
        <v>80</v>
      </c>
      <c r="E494" s="32">
        <f t="shared" si="56"/>
        <v>79.965282429549617</v>
      </c>
      <c r="F494" s="32">
        <f t="shared" si="56"/>
        <v>79.931747124357045</v>
      </c>
      <c r="G494" s="32">
        <f t="shared" si="56"/>
        <v>79.900536088918429</v>
      </c>
      <c r="H494" s="32">
        <f t="shared" si="56"/>
        <v>79.87271217776528</v>
      </c>
      <c r="I494" s="32">
        <f t="shared" si="56"/>
        <v>79.849222900636192</v>
      </c>
      <c r="J494" s="32">
        <f t="shared" si="56"/>
        <v>79.830868156882659</v>
      </c>
      <c r="K494" s="32">
        <f t="shared" si="56"/>
        <v>79.818272995117269</v>
      </c>
      <c r="L494" s="32">
        <f t="shared" si="55"/>
        <v>79.811866328597063</v>
      </c>
      <c r="M494" s="32">
        <f t="shared" si="54"/>
        <v>79.811866328597063</v>
      </c>
    </row>
    <row r="495" spans="2:13" x14ac:dyDescent="0.25">
      <c r="B495" s="31">
        <v>355</v>
      </c>
      <c r="C495" s="32">
        <f t="shared" si="51"/>
        <v>7.0999999999999366</v>
      </c>
      <c r="D495" s="35">
        <f t="shared" si="52"/>
        <v>80</v>
      </c>
      <c r="E495" s="32">
        <f t="shared" si="56"/>
        <v>79.96587356217853</v>
      </c>
      <c r="F495" s="32">
        <f t="shared" si="56"/>
        <v>79.932909259234023</v>
      </c>
      <c r="G495" s="32">
        <f t="shared" si="56"/>
        <v>79.902229651061162</v>
      </c>
      <c r="H495" s="32">
        <f t="shared" si="56"/>
        <v>79.874879494777304</v>
      </c>
      <c r="I495" s="32">
        <f t="shared" si="56"/>
        <v>79.851790167323969</v>
      </c>
      <c r="J495" s="32">
        <f t="shared" si="56"/>
        <v>79.833747947876731</v>
      </c>
      <c r="K495" s="32">
        <f t="shared" si="56"/>
        <v>79.821367242739854</v>
      </c>
      <c r="L495" s="32">
        <f t="shared" si="55"/>
        <v>79.815069661857166</v>
      </c>
      <c r="M495" s="32">
        <f t="shared" si="54"/>
        <v>79.815069661857166</v>
      </c>
    </row>
    <row r="496" spans="2:13" x14ac:dyDescent="0.25">
      <c r="B496" s="31">
        <v>356</v>
      </c>
      <c r="C496" s="32">
        <f t="shared" si="51"/>
        <v>7.1199999999999362</v>
      </c>
      <c r="D496" s="35">
        <f t="shared" si="52"/>
        <v>80</v>
      </c>
      <c r="E496" s="32">
        <f t="shared" si="56"/>
        <v>79.966454629617004</v>
      </c>
      <c r="F496" s="32">
        <f t="shared" si="56"/>
        <v>79.934051606619846</v>
      </c>
      <c r="G496" s="32">
        <f t="shared" si="56"/>
        <v>79.903894377005656</v>
      </c>
      <c r="H496" s="32">
        <f t="shared" si="56"/>
        <v>79.877009909192566</v>
      </c>
      <c r="I496" s="32">
        <f t="shared" si="56"/>
        <v>79.854313721327017</v>
      </c>
      <c r="J496" s="32">
        <f t="shared" si="56"/>
        <v>79.836578705031911</v>
      </c>
      <c r="K496" s="32">
        <f t="shared" si="56"/>
        <v>79.824408804866948</v>
      </c>
      <c r="L496" s="32">
        <f t="shared" si="55"/>
        <v>79.81821845229851</v>
      </c>
      <c r="M496" s="32">
        <f t="shared" si="54"/>
        <v>79.81821845229851</v>
      </c>
    </row>
    <row r="497" spans="2:13" x14ac:dyDescent="0.25">
      <c r="B497" s="31">
        <v>357</v>
      </c>
      <c r="C497" s="32">
        <f t="shared" si="51"/>
        <v>7.1399999999999357</v>
      </c>
      <c r="D497" s="35">
        <f t="shared" si="52"/>
        <v>80</v>
      </c>
      <c r="E497" s="32">
        <f t="shared" si="56"/>
        <v>79.967025803309923</v>
      </c>
      <c r="F497" s="32">
        <f t="shared" si="56"/>
        <v>79.93517450331133</v>
      </c>
      <c r="G497" s="32">
        <f t="shared" si="56"/>
        <v>79.905530757906206</v>
      </c>
      <c r="H497" s="32">
        <f t="shared" si="56"/>
        <v>79.87910404916633</v>
      </c>
      <c r="I497" s="32">
        <f t="shared" si="56"/>
        <v>79.856794307112239</v>
      </c>
      <c r="J497" s="32">
        <f t="shared" si="56"/>
        <v>79.839361263096976</v>
      </c>
      <c r="K497" s="32">
        <f t="shared" si="56"/>
        <v>79.82739857866521</v>
      </c>
      <c r="L497" s="32">
        <f t="shared" si="55"/>
        <v>79.821313628582729</v>
      </c>
      <c r="M497" s="32">
        <f t="shared" si="54"/>
        <v>79.821313628582729</v>
      </c>
    </row>
    <row r="498" spans="2:13" x14ac:dyDescent="0.25">
      <c r="B498" s="31">
        <v>358</v>
      </c>
      <c r="C498" s="32">
        <f t="shared" si="51"/>
        <v>7.1599999999999353</v>
      </c>
      <c r="D498" s="35">
        <f t="shared" si="52"/>
        <v>80</v>
      </c>
      <c r="E498" s="32">
        <f t="shared" si="56"/>
        <v>79.967587251655658</v>
      </c>
      <c r="F498" s="32">
        <f t="shared" si="56"/>
        <v>79.936278280608065</v>
      </c>
      <c r="G498" s="32">
        <f t="shared" si="56"/>
        <v>79.907139276238837</v>
      </c>
      <c r="H498" s="32">
        <f t="shared" si="56"/>
        <v>79.881162532509222</v>
      </c>
      <c r="I498" s="32">
        <f t="shared" si="56"/>
        <v>79.859232656131653</v>
      </c>
      <c r="J498" s="32">
        <f t="shared" si="56"/>
        <v>79.842096442888732</v>
      </c>
      <c r="K498" s="32">
        <f t="shared" si="56"/>
        <v>79.830337445839859</v>
      </c>
      <c r="L498" s="32">
        <f t="shared" si="55"/>
        <v>79.82435610362397</v>
      </c>
      <c r="M498" s="32">
        <f t="shared" si="54"/>
        <v>79.82435610362397</v>
      </c>
    </row>
    <row r="499" spans="2:13" x14ac:dyDescent="0.25">
      <c r="B499" s="31">
        <v>359</v>
      </c>
      <c r="C499" s="32">
        <f t="shared" si="51"/>
        <v>7.1799999999999349</v>
      </c>
      <c r="D499" s="35">
        <f t="shared" si="52"/>
        <v>80</v>
      </c>
      <c r="E499" s="32">
        <f t="shared" si="56"/>
        <v>79.968139140304032</v>
      </c>
      <c r="F499" s="32">
        <f t="shared" si="56"/>
        <v>79.937363263947248</v>
      </c>
      <c r="G499" s="32">
        <f t="shared" si="56"/>
        <v>79.908720406558643</v>
      </c>
      <c r="H499" s="32">
        <f t="shared" si="56"/>
        <v>79.883185966185238</v>
      </c>
      <c r="I499" s="32">
        <f t="shared" si="56"/>
        <v>79.861629487698977</v>
      </c>
      <c r="J499" s="32">
        <f t="shared" si="56"/>
        <v>79.844785050985763</v>
      </c>
      <c r="K499" s="32">
        <f t="shared" si="56"/>
        <v>79.833226273256344</v>
      </c>
      <c r="L499" s="32">
        <f t="shared" si="55"/>
        <v>79.827346774731922</v>
      </c>
      <c r="M499" s="32">
        <f t="shared" si="54"/>
        <v>79.827346774731922</v>
      </c>
    </row>
    <row r="500" spans="2:13" x14ac:dyDescent="0.25">
      <c r="B500" s="31">
        <v>360</v>
      </c>
      <c r="C500" s="32">
        <f t="shared" si="51"/>
        <v>7.1999999999999345</v>
      </c>
      <c r="D500" s="35">
        <f t="shared" si="52"/>
        <v>80</v>
      </c>
      <c r="E500" s="32">
        <f t="shared" si="56"/>
        <v>79.968681631973624</v>
      </c>
      <c r="F500" s="32">
        <f t="shared" si="56"/>
        <v>79.938429773431338</v>
      </c>
      <c r="G500" s="32">
        <f t="shared" si="56"/>
        <v>79.910274615066243</v>
      </c>
      <c r="H500" s="32">
        <f t="shared" si="56"/>
        <v>79.885174947128803</v>
      </c>
      <c r="I500" s="32">
        <f t="shared" si="56"/>
        <v>79.8639855085855</v>
      </c>
      <c r="J500" s="32">
        <f t="shared" si="56"/>
        <v>79.847427880477653</v>
      </c>
      <c r="K500" s="32">
        <f t="shared" si="56"/>
        <v>79.836065912858842</v>
      </c>
      <c r="L500" s="32">
        <f t="shared" si="55"/>
        <v>79.830286523994133</v>
      </c>
      <c r="M500" s="32">
        <f t="shared" si="54"/>
        <v>79.830286523994133</v>
      </c>
    </row>
    <row r="501" spans="2:13" x14ac:dyDescent="0.25">
      <c r="B501" s="31">
        <v>361</v>
      </c>
      <c r="C501" s="32">
        <f t="shared" si="51"/>
        <v>7.219999999999934</v>
      </c>
      <c r="D501" s="35">
        <f t="shared" si="52"/>
        <v>80</v>
      </c>
      <c r="E501" s="32">
        <f t="shared" si="56"/>
        <v>79.969214886715662</v>
      </c>
      <c r="F501" s="32">
        <f t="shared" si="56"/>
        <v>79.939478123519933</v>
      </c>
      <c r="G501" s="32">
        <f t="shared" si="56"/>
        <v>79.911802360280063</v>
      </c>
      <c r="H501" s="32">
        <f t="shared" si="56"/>
        <v>79.887130061825872</v>
      </c>
      <c r="I501" s="32">
        <f t="shared" si="56"/>
        <v>79.866301413803228</v>
      </c>
      <c r="J501" s="32">
        <f t="shared" si="56"/>
        <v>79.850025710722178</v>
      </c>
      <c r="K501" s="32">
        <f t="shared" si="56"/>
        <v>79.838857202235886</v>
      </c>
      <c r="L501" s="32">
        <f t="shared" si="55"/>
        <v>79.833176218426487</v>
      </c>
      <c r="M501" s="32">
        <f t="shared" si="54"/>
        <v>79.833176218426487</v>
      </c>
    </row>
    <row r="502" spans="2:13" x14ac:dyDescent="0.25">
      <c r="B502" s="31">
        <v>362</v>
      </c>
      <c r="C502" s="32">
        <f t="shared" ref="C502:C565" si="57">C501+$E$138</f>
        <v>7.2399999999999336</v>
      </c>
      <c r="D502" s="35">
        <f t="shared" ref="D502:D565" si="58">D501</f>
        <v>80</v>
      </c>
      <c r="E502" s="32">
        <f t="shared" si="56"/>
        <v>79.969739061759967</v>
      </c>
      <c r="F502" s="32">
        <f t="shared" si="56"/>
        <v>79.940508623497863</v>
      </c>
      <c r="G502" s="32">
        <f t="shared" si="56"/>
        <v>79.913304092672902</v>
      </c>
      <c r="H502" s="32">
        <f t="shared" si="56"/>
        <v>79.889051887041646</v>
      </c>
      <c r="I502" s="32">
        <f t="shared" si="56"/>
        <v>79.868577886274025</v>
      </c>
      <c r="J502" s="32">
        <f t="shared" si="56"/>
        <v>79.852579308019557</v>
      </c>
      <c r="K502" s="32">
        <f t="shared" si="56"/>
        <v>79.841600964574326</v>
      </c>
      <c r="L502" s="32">
        <f t="shared" si="55"/>
        <v>79.836016710331194</v>
      </c>
      <c r="M502" s="32">
        <f t="shared" si="54"/>
        <v>79.836016710331194</v>
      </c>
    </row>
    <row r="503" spans="2:13" x14ac:dyDescent="0.25">
      <c r="B503" s="31">
        <v>363</v>
      </c>
      <c r="C503" s="32">
        <f t="shared" si="57"/>
        <v>7.2599999999999332</v>
      </c>
      <c r="D503" s="35">
        <f t="shared" si="58"/>
        <v>80</v>
      </c>
      <c r="E503" s="32">
        <f t="shared" si="56"/>
        <v>79.970254311748931</v>
      </c>
      <c r="F503" s="32">
        <f t="shared" si="56"/>
        <v>79.941521577216434</v>
      </c>
      <c r="G503" s="32">
        <f t="shared" si="56"/>
        <v>79.914780255269761</v>
      </c>
      <c r="H503" s="32">
        <f t="shared" si="56"/>
        <v>79.890940989473464</v>
      </c>
      <c r="I503" s="32">
        <f t="shared" si="56"/>
        <v>79.870815597530594</v>
      </c>
      <c r="J503" s="32">
        <f t="shared" si="56"/>
        <v>79.855089425424183</v>
      </c>
      <c r="K503" s="32">
        <f t="shared" si="56"/>
        <v>79.844298009175375</v>
      </c>
      <c r="L503" s="32">
        <f t="shared" si="55"/>
        <v>79.83880883745276</v>
      </c>
      <c r="M503" s="32">
        <f t="shared" si="54"/>
        <v>79.83880883745276</v>
      </c>
    </row>
    <row r="504" spans="2:13" x14ac:dyDescent="0.25">
      <c r="B504" s="31">
        <v>364</v>
      </c>
      <c r="C504" s="32">
        <f t="shared" si="57"/>
        <v>7.2799999999999327</v>
      </c>
      <c r="D504" s="35">
        <f t="shared" si="58"/>
        <v>80</v>
      </c>
      <c r="E504" s="32">
        <f t="shared" si="56"/>
        <v>79.970760788608217</v>
      </c>
      <c r="F504" s="32">
        <f t="shared" si="56"/>
        <v>79.942517283509346</v>
      </c>
      <c r="G504" s="32">
        <f t="shared" si="56"/>
        <v>79.916231283344956</v>
      </c>
      <c r="H504" s="32">
        <f t="shared" si="56"/>
        <v>79.892797926400178</v>
      </c>
      <c r="I504" s="32">
        <f t="shared" si="56"/>
        <v>79.873015207448816</v>
      </c>
      <c r="J504" s="32">
        <f t="shared" si="56"/>
        <v>79.857556803352992</v>
      </c>
      <c r="K504" s="32">
        <f t="shared" si="56"/>
        <v>79.846949131438464</v>
      </c>
      <c r="L504" s="32">
        <f t="shared" si="55"/>
        <v>79.841553423314068</v>
      </c>
      <c r="M504" s="32">
        <f t="shared" si="54"/>
        <v>79.841553423314068</v>
      </c>
    </row>
    <row r="505" spans="2:13" x14ac:dyDescent="0.25">
      <c r="B505" s="31">
        <v>365</v>
      </c>
      <c r="C505" s="32">
        <f t="shared" si="57"/>
        <v>7.2999999999999323</v>
      </c>
      <c r="D505" s="35">
        <f t="shared" si="58"/>
        <v>80</v>
      </c>
      <c r="E505" s="32">
        <f t="shared" si="56"/>
        <v>79.971258641754673</v>
      </c>
      <c r="F505" s="32">
        <f t="shared" si="56"/>
        <v>79.94349603597658</v>
      </c>
      <c r="G505" s="32">
        <f t="shared" si="56"/>
        <v>79.917657604954769</v>
      </c>
      <c r="H505" s="32">
        <f t="shared" si="56"/>
        <v>79.894623245396886</v>
      </c>
      <c r="I505" s="32">
        <f t="shared" si="56"/>
        <v>79.875177364876578</v>
      </c>
      <c r="J505" s="32">
        <f t="shared" si="56"/>
        <v>79.85998216944364</v>
      </c>
      <c r="K505" s="32">
        <f t="shared" si="56"/>
        <v>79.849555113333537</v>
      </c>
      <c r="L505" s="32">
        <f t="shared" si="55"/>
        <v>79.844251277376259</v>
      </c>
      <c r="M505" s="32">
        <f t="shared" si="54"/>
        <v>79.844251277376259</v>
      </c>
    </row>
    <row r="506" spans="2:13" x14ac:dyDescent="0.25">
      <c r="B506" s="31">
        <v>366</v>
      </c>
      <c r="C506" s="32">
        <f t="shared" si="57"/>
        <v>7.3199999999999319</v>
      </c>
      <c r="D506" s="35">
        <f t="shared" si="58"/>
        <v>80</v>
      </c>
      <c r="E506" s="32">
        <f t="shared" si="56"/>
        <v>79.97174801798829</v>
      </c>
      <c r="F506" s="32">
        <f t="shared" si="56"/>
        <v>79.944458123354721</v>
      </c>
      <c r="G506" s="32">
        <f t="shared" si="56"/>
        <v>79.919059640686726</v>
      </c>
      <c r="H506" s="32">
        <f t="shared" si="56"/>
        <v>79.896417484915673</v>
      </c>
      <c r="I506" s="32">
        <f t="shared" si="56"/>
        <v>79.877302707420256</v>
      </c>
      <c r="J506" s="32">
        <f t="shared" si="56"/>
        <v>79.862366239105057</v>
      </c>
      <c r="K506" s="32">
        <f t="shared" si="56"/>
        <v>79.852116723409949</v>
      </c>
      <c r="L506" s="32">
        <f t="shared" si="55"/>
        <v>79.846903195354898</v>
      </c>
      <c r="M506" s="32">
        <f t="shared" si="54"/>
        <v>79.846903195354898</v>
      </c>
    </row>
    <row r="507" spans="2:13" x14ac:dyDescent="0.25">
      <c r="B507" s="31">
        <v>367</v>
      </c>
      <c r="C507" s="32">
        <f t="shared" si="57"/>
        <v>7.3399999999999315</v>
      </c>
      <c r="D507" s="35">
        <f t="shared" si="58"/>
        <v>80</v>
      </c>
      <c r="E507" s="32">
        <f t="shared" si="56"/>
        <v>79.972229061677353</v>
      </c>
      <c r="F507" s="32">
        <f t="shared" si="56"/>
        <v>79.945403829337508</v>
      </c>
      <c r="G507" s="32">
        <f t="shared" si="56"/>
        <v>79.92043780413519</v>
      </c>
      <c r="H507" s="32">
        <f t="shared" si="56"/>
        <v>79.898181174053491</v>
      </c>
      <c r="I507" s="32">
        <f t="shared" si="56"/>
        <v>79.879391862010365</v>
      </c>
      <c r="J507" s="32">
        <f t="shared" si="56"/>
        <v>79.864709715415103</v>
      </c>
      <c r="K507" s="32">
        <f t="shared" si="56"/>
        <v>79.85463471722997</v>
      </c>
      <c r="L507" s="32">
        <f t="shared" si="55"/>
        <v>79.849509959382431</v>
      </c>
      <c r="M507" s="32">
        <f t="shared" si="54"/>
        <v>79.849509959382431</v>
      </c>
    </row>
    <row r="508" spans="2:13" x14ac:dyDescent="0.25">
      <c r="B508" s="31">
        <v>368</v>
      </c>
      <c r="C508" s="32">
        <f t="shared" si="57"/>
        <v>7.359999999999931</v>
      </c>
      <c r="D508" s="35">
        <f t="shared" si="58"/>
        <v>80</v>
      </c>
      <c r="E508" s="32">
        <f t="shared" si="56"/>
        <v>79.972701914668761</v>
      </c>
      <c r="F508" s="32">
        <f t="shared" si="56"/>
        <v>79.946333432906272</v>
      </c>
      <c r="G508" s="32">
        <f t="shared" si="56"/>
        <v>79.921792501695506</v>
      </c>
      <c r="H508" s="32">
        <f t="shared" si="56"/>
        <v>79.899914833072785</v>
      </c>
      <c r="I508" s="32">
        <f t="shared" si="56"/>
        <v>79.881445444734297</v>
      </c>
      <c r="J508" s="32">
        <f t="shared" si="56"/>
        <v>79.867013289620161</v>
      </c>
      <c r="K508" s="32">
        <f t="shared" si="56"/>
        <v>79.857109837398767</v>
      </c>
      <c r="L508" s="32">
        <f t="shared" si="55"/>
        <v>79.852072338306201</v>
      </c>
      <c r="M508" s="32">
        <f t="shared" si="54"/>
        <v>79.852072338306201</v>
      </c>
    </row>
    <row r="509" spans="2:13" x14ac:dyDescent="0.25">
      <c r="B509" s="31">
        <v>369</v>
      </c>
      <c r="C509" s="32">
        <f t="shared" si="57"/>
        <v>7.3799999999999306</v>
      </c>
      <c r="D509" s="35">
        <f t="shared" si="58"/>
        <v>80</v>
      </c>
      <c r="E509" s="32">
        <f t="shared" si="56"/>
        <v>79.973166716453136</v>
      </c>
      <c r="F509" s="32">
        <f t="shared" si="56"/>
        <v>79.947247208182134</v>
      </c>
      <c r="G509" s="32">
        <f t="shared" si="56"/>
        <v>79.923124132989528</v>
      </c>
      <c r="H509" s="32">
        <f t="shared" si="56"/>
        <v>79.901618973214909</v>
      </c>
      <c r="I509" s="32">
        <f t="shared" si="56"/>
        <v>79.883464061346473</v>
      </c>
      <c r="J509" s="32">
        <f t="shared" si="56"/>
        <v>79.869277641066532</v>
      </c>
      <c r="K509" s="32">
        <f t="shared" si="56"/>
        <v>79.859542813963174</v>
      </c>
      <c r="L509" s="32">
        <f t="shared" si="55"/>
        <v>79.854591087852484</v>
      </c>
      <c r="M509" s="32">
        <f t="shared" si="54"/>
        <v>79.854591087852484</v>
      </c>
    </row>
    <row r="510" spans="2:13" x14ac:dyDescent="0.25">
      <c r="B510" s="31">
        <v>370</v>
      </c>
      <c r="C510" s="32">
        <f t="shared" si="57"/>
        <v>7.3999999999999302</v>
      </c>
      <c r="D510" s="35">
        <f t="shared" si="58"/>
        <v>80</v>
      </c>
      <c r="E510" s="32">
        <f t="shared" si="56"/>
        <v>79.973623604091074</v>
      </c>
      <c r="F510" s="32">
        <f t="shared" si="56"/>
        <v>79.948145424721332</v>
      </c>
      <c r="G510" s="32">
        <f t="shared" si="56"/>
        <v>79.924433090698528</v>
      </c>
      <c r="H510" s="32">
        <f t="shared" si="56"/>
        <v>79.903294097168001</v>
      </c>
      <c r="I510" s="32">
        <f t="shared" si="56"/>
        <v>79.88544830714072</v>
      </c>
      <c r="J510" s="32">
        <f t="shared" si="56"/>
        <v>79.871503437654823</v>
      </c>
      <c r="K510" s="32">
        <f t="shared" si="56"/>
        <v>79.861934364459501</v>
      </c>
      <c r="L510" s="32">
        <f t="shared" si="55"/>
        <v>79.857066950907836</v>
      </c>
      <c r="M510" s="32">
        <f t="shared" si="54"/>
        <v>79.857066950907836</v>
      </c>
    </row>
    <row r="511" spans="2:13" x14ac:dyDescent="0.25">
      <c r="B511" s="31">
        <v>371</v>
      </c>
      <c r="C511" s="32">
        <f t="shared" si="57"/>
        <v>7.4199999999999298</v>
      </c>
      <c r="D511" s="35">
        <f t="shared" si="58"/>
        <v>80</v>
      </c>
      <c r="E511" s="32">
        <f t="shared" si="56"/>
        <v>79.974072712360666</v>
      </c>
      <c r="F511" s="32">
        <f t="shared" si="56"/>
        <v>79.949028347394801</v>
      </c>
      <c r="G511" s="32">
        <f t="shared" si="56"/>
        <v>79.925719760944673</v>
      </c>
      <c r="H511" s="32">
        <f t="shared" si="56"/>
        <v>79.904940698919631</v>
      </c>
      <c r="I511" s="32">
        <f t="shared" si="56"/>
        <v>79.887398767411412</v>
      </c>
      <c r="J511" s="32">
        <f t="shared" si="56"/>
        <v>79.873691335800117</v>
      </c>
      <c r="K511" s="32">
        <f t="shared" si="56"/>
        <v>79.864285194281337</v>
      </c>
      <c r="L511" s="32">
        <f t="shared" si="55"/>
        <v>79.859500657683668</v>
      </c>
      <c r="M511" s="32">
        <f t="shared" si="54"/>
        <v>79.859500657683668</v>
      </c>
    </row>
    <row r="512" spans="2:13" x14ac:dyDescent="0.25">
      <c r="B512" s="31">
        <v>372</v>
      </c>
      <c r="C512" s="32">
        <f t="shared" si="57"/>
        <v>7.4399999999999293</v>
      </c>
      <c r="D512" s="35">
        <f t="shared" si="58"/>
        <v>80</v>
      </c>
      <c r="E512" s="32">
        <f t="shared" si="56"/>
        <v>79.974514173697401</v>
      </c>
      <c r="F512" s="32">
        <f t="shared" si="56"/>
        <v>79.949896236652677</v>
      </c>
      <c r="G512" s="32">
        <f t="shared" si="56"/>
        <v>79.926984523157216</v>
      </c>
      <c r="H512" s="32">
        <f t="shared" si="56"/>
        <v>79.906559264178043</v>
      </c>
      <c r="I512" s="32">
        <f t="shared" si="56"/>
        <v>79.889316017359874</v>
      </c>
      <c r="J512" s="32">
        <f t="shared" si="56"/>
        <v>79.875841980846374</v>
      </c>
      <c r="K512" s="32">
        <f t="shared" si="56"/>
        <v>79.866595996741893</v>
      </c>
      <c r="L512" s="32">
        <f t="shared" si="55"/>
        <v>79.861892925982502</v>
      </c>
      <c r="M512" s="32">
        <f t="shared" si="54"/>
        <v>79.861892925982502</v>
      </c>
    </row>
    <row r="513" spans="2:13" x14ac:dyDescent="0.25">
      <c r="B513" s="31">
        <v>373</v>
      </c>
      <c r="C513" s="32">
        <f t="shared" si="57"/>
        <v>7.4599999999999289</v>
      </c>
      <c r="D513" s="35">
        <f t="shared" si="58"/>
        <v>80</v>
      </c>
      <c r="E513" s="32">
        <f t="shared" si="56"/>
        <v>79.974948118326338</v>
      </c>
      <c r="F513" s="32">
        <f t="shared" si="56"/>
        <v>79.950749348427308</v>
      </c>
      <c r="G513" s="32">
        <f t="shared" si="56"/>
        <v>79.92822775041536</v>
      </c>
      <c r="H513" s="32">
        <f t="shared" si="56"/>
        <v>79.908150270258545</v>
      </c>
      <c r="I513" s="32">
        <f t="shared" si="56"/>
        <v>79.891200622512201</v>
      </c>
      <c r="J513" s="32">
        <f t="shared" si="56"/>
        <v>79.877956007050884</v>
      </c>
      <c r="K513" s="32">
        <f t="shared" si="56"/>
        <v>79.868867453414438</v>
      </c>
      <c r="L513" s="32">
        <f t="shared" si="55"/>
        <v>79.864244461362205</v>
      </c>
      <c r="M513" s="32">
        <f t="shared" si="54"/>
        <v>79.864244461362205</v>
      </c>
    </row>
    <row r="514" spans="2:13" x14ac:dyDescent="0.25">
      <c r="B514" s="31">
        <v>374</v>
      </c>
      <c r="C514" s="32">
        <f t="shared" si="57"/>
        <v>7.4799999999999285</v>
      </c>
      <c r="D514" s="35">
        <f t="shared" si="58"/>
        <v>80</v>
      </c>
      <c r="E514" s="32">
        <f t="shared" si="56"/>
        <v>79.975374674213654</v>
      </c>
      <c r="F514" s="32">
        <f t="shared" si="56"/>
        <v>79.951587934370849</v>
      </c>
      <c r="G514" s="32">
        <f t="shared" si="56"/>
        <v>79.929449809342927</v>
      </c>
      <c r="H514" s="32">
        <f t="shared" si="56"/>
        <v>79.909714186463788</v>
      </c>
      <c r="I514" s="32">
        <f t="shared" si="56"/>
        <v>79.893053138654722</v>
      </c>
      <c r="J514" s="32">
        <f t="shared" si="56"/>
        <v>79.880034037963327</v>
      </c>
      <c r="K514" s="32">
        <f t="shared" si="56"/>
        <v>79.871100234206551</v>
      </c>
      <c r="L514" s="32">
        <f t="shared" si="55"/>
        <v>79.866555957388329</v>
      </c>
      <c r="M514" s="32">
        <f t="shared" si="54"/>
        <v>79.866555957388329</v>
      </c>
    </row>
    <row r="515" spans="2:13" x14ac:dyDescent="0.25">
      <c r="B515" s="31">
        <v>375</v>
      </c>
      <c r="C515" s="32">
        <f t="shared" si="57"/>
        <v>7.4999999999999281</v>
      </c>
      <c r="D515" s="35">
        <f t="shared" si="58"/>
        <v>80</v>
      </c>
      <c r="E515" s="32">
        <f t="shared" si="56"/>
        <v>79.975793967185425</v>
      </c>
      <c r="F515" s="32">
        <f t="shared" si="56"/>
        <v>79.952412241778291</v>
      </c>
      <c r="G515" s="32">
        <f t="shared" si="56"/>
        <v>79.930651060417318</v>
      </c>
      <c r="H515" s="32">
        <f t="shared" si="56"/>
        <v>79.911251473998817</v>
      </c>
      <c r="I515" s="32">
        <f t="shared" si="56"/>
        <v>79.894874112213557</v>
      </c>
      <c r="J515" s="32">
        <f t="shared" si="56"/>
        <v>79.882076686430636</v>
      </c>
      <c r="K515" s="32">
        <f t="shared" si="56"/>
        <v>79.873294997675828</v>
      </c>
      <c r="L515" s="32">
        <f t="shared" si="55"/>
        <v>79.86882809579744</v>
      </c>
      <c r="M515" s="32">
        <f t="shared" si="54"/>
        <v>79.86882809579744</v>
      </c>
    </row>
    <row r="516" spans="2:13" x14ac:dyDescent="0.25">
      <c r="B516" s="31">
        <v>376</v>
      </c>
      <c r="C516" s="32">
        <f t="shared" si="57"/>
        <v>7.5199999999999276</v>
      </c>
      <c r="D516" s="35">
        <f t="shared" si="58"/>
        <v>80</v>
      </c>
      <c r="E516" s="32">
        <f t="shared" si="56"/>
        <v>79.976206120889145</v>
      </c>
      <c r="F516" s="32">
        <f t="shared" ref="E516:K580" si="59">(E515+G515)/2</f>
        <v>79.953222513801364</v>
      </c>
      <c r="G516" s="32">
        <f t="shared" si="59"/>
        <v>79.931831857888554</v>
      </c>
      <c r="H516" s="32">
        <f t="shared" si="59"/>
        <v>79.912762586315438</v>
      </c>
      <c r="I516" s="32">
        <f t="shared" si="59"/>
        <v>79.89666408021472</v>
      </c>
      <c r="J516" s="32">
        <f t="shared" si="59"/>
        <v>79.884084554944693</v>
      </c>
      <c r="K516" s="32">
        <f t="shared" si="59"/>
        <v>79.875452391114038</v>
      </c>
      <c r="L516" s="32">
        <f t="shared" si="55"/>
        <v>79.871061546736627</v>
      </c>
      <c r="M516" s="32">
        <f t="shared" si="54"/>
        <v>79.871061546736627</v>
      </c>
    </row>
    <row r="517" spans="2:13" x14ac:dyDescent="0.25">
      <c r="B517" s="31">
        <v>377</v>
      </c>
      <c r="C517" s="32">
        <f t="shared" si="57"/>
        <v>7.5399999999999272</v>
      </c>
      <c r="D517" s="35">
        <f t="shared" si="58"/>
        <v>80</v>
      </c>
      <c r="E517" s="32">
        <f t="shared" ref="E517:K553" si="60">(D516+F516)/2</f>
        <v>79.976611256900682</v>
      </c>
      <c r="F517" s="32">
        <f t="shared" si="60"/>
        <v>79.954018989388857</v>
      </c>
      <c r="G517" s="32">
        <f t="shared" si="60"/>
        <v>79.932992550058401</v>
      </c>
      <c r="H517" s="32">
        <f t="shared" si="60"/>
        <v>79.914247969051644</v>
      </c>
      <c r="I517" s="32">
        <f t="shared" si="60"/>
        <v>79.898423570630058</v>
      </c>
      <c r="J517" s="32">
        <f t="shared" si="60"/>
        <v>79.886058235664379</v>
      </c>
      <c r="K517" s="32">
        <f t="shared" si="60"/>
        <v>79.877573050840653</v>
      </c>
      <c r="L517" s="32">
        <f t="shared" si="55"/>
        <v>79.873256968925332</v>
      </c>
      <c r="M517" s="32">
        <f t="shared" si="54"/>
        <v>79.873256968925332</v>
      </c>
    </row>
    <row r="518" spans="2:13" x14ac:dyDescent="0.25">
      <c r="B518" s="31">
        <v>378</v>
      </c>
      <c r="C518" s="32">
        <f t="shared" si="57"/>
        <v>7.5599999999999268</v>
      </c>
      <c r="D518" s="35">
        <f t="shared" si="58"/>
        <v>80</v>
      </c>
      <c r="E518" s="32">
        <f t="shared" si="60"/>
        <v>79.977009494694428</v>
      </c>
      <c r="F518" s="32">
        <f t="shared" si="60"/>
        <v>79.954801903479535</v>
      </c>
      <c r="G518" s="32">
        <f t="shared" si="60"/>
        <v>79.93413347922025</v>
      </c>
      <c r="H518" s="32">
        <f t="shared" si="60"/>
        <v>79.91570806034423</v>
      </c>
      <c r="I518" s="32">
        <f t="shared" si="60"/>
        <v>79.900153102358018</v>
      </c>
      <c r="J518" s="32">
        <f t="shared" si="60"/>
        <v>79.887998310735355</v>
      </c>
      <c r="K518" s="32">
        <f t="shared" si="60"/>
        <v>79.879657602294856</v>
      </c>
      <c r="L518" s="32">
        <f t="shared" si="55"/>
        <v>79.875415009883</v>
      </c>
      <c r="M518" s="32">
        <f t="shared" si="54"/>
        <v>79.875415009883</v>
      </c>
    </row>
    <row r="519" spans="2:13" x14ac:dyDescent="0.25">
      <c r="B519" s="31">
        <v>379</v>
      </c>
      <c r="C519" s="32">
        <f t="shared" si="57"/>
        <v>7.5799999999999264</v>
      </c>
      <c r="D519" s="35">
        <f t="shared" si="58"/>
        <v>80</v>
      </c>
      <c r="E519" s="32">
        <f t="shared" si="60"/>
        <v>79.977400951739767</v>
      </c>
      <c r="F519" s="32">
        <f t="shared" si="60"/>
        <v>79.955571486957339</v>
      </c>
      <c r="G519" s="32">
        <f t="shared" si="60"/>
        <v>79.935254981911882</v>
      </c>
      <c r="H519" s="32">
        <f t="shared" si="60"/>
        <v>79.917143290789141</v>
      </c>
      <c r="I519" s="32">
        <f t="shared" si="60"/>
        <v>79.901853185539792</v>
      </c>
      <c r="J519" s="32">
        <f t="shared" si="60"/>
        <v>79.889905352326437</v>
      </c>
      <c r="K519" s="32">
        <f t="shared" si="60"/>
        <v>79.881706660309177</v>
      </c>
      <c r="L519" s="32">
        <f t="shared" si="55"/>
        <v>79.877536306088928</v>
      </c>
      <c r="M519" s="32">
        <f t="shared" si="54"/>
        <v>79.877536306088928</v>
      </c>
    </row>
    <row r="520" spans="2:13" x14ac:dyDescent="0.25">
      <c r="B520" s="31">
        <v>380</v>
      </c>
      <c r="C520" s="32">
        <f t="shared" si="57"/>
        <v>7.5999999999999259</v>
      </c>
      <c r="D520" s="35">
        <f t="shared" si="58"/>
        <v>80</v>
      </c>
      <c r="E520" s="32">
        <f t="shared" si="60"/>
        <v>79.977785743478677</v>
      </c>
      <c r="F520" s="32">
        <f t="shared" si="60"/>
        <v>79.956327966825825</v>
      </c>
      <c r="G520" s="32">
        <f t="shared" si="60"/>
        <v>79.936357388873233</v>
      </c>
      <c r="H520" s="32">
        <f t="shared" si="60"/>
        <v>79.918554083725837</v>
      </c>
      <c r="I520" s="32">
        <f t="shared" si="60"/>
        <v>79.903524321557796</v>
      </c>
      <c r="J520" s="32">
        <f t="shared" si="60"/>
        <v>79.891779922924485</v>
      </c>
      <c r="K520" s="32">
        <f t="shared" si="60"/>
        <v>79.883720829207675</v>
      </c>
      <c r="L520" s="32">
        <f t="shared" si="55"/>
        <v>79.87962148319906</v>
      </c>
      <c r="M520" s="32">
        <f t="shared" si="54"/>
        <v>79.87962148319906</v>
      </c>
    </row>
    <row r="521" spans="2:13" x14ac:dyDescent="0.25">
      <c r="B521" s="31">
        <v>381</v>
      </c>
      <c r="C521" s="32">
        <f t="shared" si="57"/>
        <v>7.6199999999999255</v>
      </c>
      <c r="D521" s="35">
        <f t="shared" si="58"/>
        <v>80</v>
      </c>
      <c r="E521" s="32">
        <f t="shared" si="60"/>
        <v>79.978163983412912</v>
      </c>
      <c r="F521" s="32">
        <f t="shared" si="60"/>
        <v>79.957071566175955</v>
      </c>
      <c r="G521" s="32">
        <f t="shared" si="60"/>
        <v>79.937441025275831</v>
      </c>
      <c r="H521" s="32">
        <f t="shared" si="60"/>
        <v>79.919940855215515</v>
      </c>
      <c r="I521" s="32">
        <f t="shared" si="60"/>
        <v>79.905167003325161</v>
      </c>
      <c r="J521" s="32">
        <f t="shared" si="60"/>
        <v>79.893622575382736</v>
      </c>
      <c r="K521" s="32">
        <f t="shared" si="60"/>
        <v>79.885700703061772</v>
      </c>
      <c r="L521" s="32">
        <f t="shared" si="55"/>
        <v>79.881671156203367</v>
      </c>
      <c r="M521" s="32">
        <f t="shared" si="54"/>
        <v>79.881671156203367</v>
      </c>
    </row>
    <row r="522" spans="2:13" x14ac:dyDescent="0.25">
      <c r="B522" s="31">
        <v>382</v>
      </c>
      <c r="C522" s="32">
        <f t="shared" si="57"/>
        <v>7.6399999999999251</v>
      </c>
      <c r="D522" s="35">
        <f t="shared" si="58"/>
        <v>80</v>
      </c>
      <c r="E522" s="32">
        <f t="shared" si="60"/>
        <v>79.978535783087978</v>
      </c>
      <c r="F522" s="32">
        <f t="shared" si="60"/>
        <v>79.957802504344372</v>
      </c>
      <c r="G522" s="32">
        <f t="shared" si="60"/>
        <v>79.938506210695735</v>
      </c>
      <c r="H522" s="32">
        <f t="shared" si="60"/>
        <v>79.921304014300489</v>
      </c>
      <c r="I522" s="32">
        <f t="shared" si="60"/>
        <v>79.906781715299132</v>
      </c>
      <c r="J522" s="32">
        <f t="shared" si="60"/>
        <v>79.895433853193467</v>
      </c>
      <c r="K522" s="32">
        <f t="shared" si="60"/>
        <v>79.887646865793045</v>
      </c>
      <c r="L522" s="32">
        <f t="shared" si="55"/>
        <v>79.883685929632577</v>
      </c>
      <c r="M522" s="32">
        <f t="shared" si="54"/>
        <v>79.883685929632577</v>
      </c>
    </row>
    <row r="523" spans="2:13" x14ac:dyDescent="0.25">
      <c r="B523" s="31">
        <v>383</v>
      </c>
      <c r="C523" s="32">
        <f t="shared" si="57"/>
        <v>7.6599999999999246</v>
      </c>
      <c r="D523" s="35">
        <f t="shared" si="58"/>
        <v>80</v>
      </c>
      <c r="E523" s="32">
        <f t="shared" si="60"/>
        <v>79.978901252172193</v>
      </c>
      <c r="F523" s="32">
        <f t="shared" si="60"/>
        <v>79.958520996891849</v>
      </c>
      <c r="G523" s="32">
        <f t="shared" si="60"/>
        <v>79.939553259322423</v>
      </c>
      <c r="H523" s="32">
        <f t="shared" si="60"/>
        <v>79.922643962997427</v>
      </c>
      <c r="I523" s="32">
        <f t="shared" si="60"/>
        <v>79.908368933746971</v>
      </c>
      <c r="J523" s="32">
        <f t="shared" si="60"/>
        <v>79.897214290546088</v>
      </c>
      <c r="K523" s="32">
        <f t="shared" si="60"/>
        <v>79.889559891413029</v>
      </c>
      <c r="L523" s="32">
        <f t="shared" si="55"/>
        <v>79.885666397712811</v>
      </c>
      <c r="M523" s="32">
        <f t="shared" si="54"/>
        <v>79.885666397712811</v>
      </c>
    </row>
    <row r="524" spans="2:13" x14ac:dyDescent="0.25">
      <c r="B524" s="31">
        <v>384</v>
      </c>
      <c r="C524" s="32">
        <f t="shared" si="57"/>
        <v>7.6799999999999242</v>
      </c>
      <c r="D524" s="35">
        <f t="shared" si="58"/>
        <v>80</v>
      </c>
      <c r="E524" s="32">
        <f t="shared" si="60"/>
        <v>79.979260498445925</v>
      </c>
      <c r="F524" s="32">
        <f t="shared" si="60"/>
        <v>79.959227255747308</v>
      </c>
      <c r="G524" s="32">
        <f t="shared" si="60"/>
        <v>79.940582479944638</v>
      </c>
      <c r="H524" s="32">
        <f t="shared" si="60"/>
        <v>79.923961096534697</v>
      </c>
      <c r="I524" s="32">
        <f t="shared" si="60"/>
        <v>79.909929126771758</v>
      </c>
      <c r="J524" s="32">
        <f t="shared" si="60"/>
        <v>79.89896441258</v>
      </c>
      <c r="K524" s="32">
        <f t="shared" si="60"/>
        <v>79.89144034412945</v>
      </c>
      <c r="L524" s="32">
        <f t="shared" si="55"/>
        <v>79.88761314456292</v>
      </c>
      <c r="M524" s="32">
        <f t="shared" si="54"/>
        <v>79.88761314456292</v>
      </c>
    </row>
    <row r="525" spans="2:13" x14ac:dyDescent="0.25">
      <c r="B525" s="31">
        <v>385</v>
      </c>
      <c r="C525" s="32">
        <f t="shared" si="57"/>
        <v>7.6999999999999238</v>
      </c>
      <c r="D525" s="35">
        <f t="shared" si="58"/>
        <v>80</v>
      </c>
      <c r="E525" s="32">
        <f t="shared" si="60"/>
        <v>79.979613627873647</v>
      </c>
      <c r="F525" s="32">
        <f t="shared" si="60"/>
        <v>79.959921489195281</v>
      </c>
      <c r="G525" s="32">
        <f t="shared" si="60"/>
        <v>79.941594176140995</v>
      </c>
      <c r="H525" s="32">
        <f t="shared" si="60"/>
        <v>79.925255803358198</v>
      </c>
      <c r="I525" s="32">
        <f t="shared" si="60"/>
        <v>79.911462754557348</v>
      </c>
      <c r="J525" s="32">
        <f t="shared" si="60"/>
        <v>79.900684735450596</v>
      </c>
      <c r="K525" s="32">
        <f t="shared" si="60"/>
        <v>79.89328877857146</v>
      </c>
      <c r="L525" s="32">
        <f t="shared" si="55"/>
        <v>79.889526744346185</v>
      </c>
      <c r="M525" s="32">
        <f t="shared" ref="M525:M588" si="61">L525</f>
        <v>79.889526744346185</v>
      </c>
    </row>
    <row r="526" spans="2:13" x14ac:dyDescent="0.25">
      <c r="B526" s="31">
        <v>386</v>
      </c>
      <c r="C526" s="32">
        <f t="shared" si="57"/>
        <v>7.7199999999999234</v>
      </c>
      <c r="D526" s="35">
        <f t="shared" si="58"/>
        <v>80</v>
      </c>
      <c r="E526" s="32">
        <f t="shared" si="60"/>
        <v>79.979960744597633</v>
      </c>
      <c r="F526" s="32">
        <f t="shared" si="60"/>
        <v>79.960603902007321</v>
      </c>
      <c r="G526" s="32">
        <f t="shared" si="60"/>
        <v>79.942588646276732</v>
      </c>
      <c r="H526" s="32">
        <f t="shared" si="60"/>
        <v>79.926528465349179</v>
      </c>
      <c r="I526" s="32">
        <f t="shared" si="60"/>
        <v>79.912970269404397</v>
      </c>
      <c r="J526" s="32">
        <f t="shared" si="60"/>
        <v>79.902375766564404</v>
      </c>
      <c r="K526" s="32">
        <f t="shared" si="60"/>
        <v>79.895105739898383</v>
      </c>
      <c r="L526" s="32">
        <f t="shared" ref="L526:L589" si="62">(K525+M525)/2</f>
        <v>79.891407761458822</v>
      </c>
      <c r="M526" s="32">
        <f t="shared" si="61"/>
        <v>79.891407761458822</v>
      </c>
    </row>
    <row r="527" spans="2:13" x14ac:dyDescent="0.25">
      <c r="B527" s="31">
        <v>387</v>
      </c>
      <c r="C527" s="32">
        <f t="shared" si="57"/>
        <v>7.7399999999999229</v>
      </c>
      <c r="D527" s="35">
        <f t="shared" si="58"/>
        <v>80</v>
      </c>
      <c r="E527" s="32">
        <f t="shared" si="60"/>
        <v>79.980301951003668</v>
      </c>
      <c r="F527" s="32">
        <f t="shared" si="60"/>
        <v>79.961274695437183</v>
      </c>
      <c r="G527" s="32">
        <f t="shared" si="60"/>
        <v>79.943566183678257</v>
      </c>
      <c r="H527" s="32">
        <f t="shared" si="60"/>
        <v>79.927779457840558</v>
      </c>
      <c r="I527" s="32">
        <f t="shared" si="60"/>
        <v>79.914452115956792</v>
      </c>
      <c r="J527" s="32">
        <f t="shared" si="60"/>
        <v>79.904038004651397</v>
      </c>
      <c r="K527" s="32">
        <f t="shared" si="60"/>
        <v>79.896891764011613</v>
      </c>
      <c r="L527" s="32">
        <f t="shared" si="62"/>
        <v>79.893256750678603</v>
      </c>
      <c r="M527" s="32">
        <f t="shared" si="61"/>
        <v>79.893256750678603</v>
      </c>
    </row>
    <row r="528" spans="2:13" x14ac:dyDescent="0.25">
      <c r="B528" s="31">
        <v>388</v>
      </c>
      <c r="C528" s="32">
        <f t="shared" si="57"/>
        <v>7.7599999999999225</v>
      </c>
      <c r="D528" s="35">
        <f t="shared" si="58"/>
        <v>80</v>
      </c>
      <c r="E528" s="32">
        <f t="shared" si="60"/>
        <v>79.980637347718584</v>
      </c>
      <c r="F528" s="32">
        <f t="shared" si="60"/>
        <v>79.961934067340962</v>
      </c>
      <c r="G528" s="32">
        <f t="shared" si="60"/>
        <v>79.944527076638877</v>
      </c>
      <c r="H528" s="32">
        <f t="shared" si="60"/>
        <v>79.929009149817517</v>
      </c>
      <c r="I528" s="32">
        <f t="shared" si="60"/>
        <v>79.915908731245977</v>
      </c>
      <c r="J528" s="32">
        <f t="shared" si="60"/>
        <v>79.905671939984202</v>
      </c>
      <c r="K528" s="32">
        <f t="shared" si="60"/>
        <v>79.898647377665</v>
      </c>
      <c r="L528" s="32">
        <f t="shared" si="62"/>
        <v>79.895074257345101</v>
      </c>
      <c r="M528" s="32">
        <f t="shared" si="61"/>
        <v>79.895074257345101</v>
      </c>
    </row>
    <row r="529" spans="2:13" x14ac:dyDescent="0.25">
      <c r="B529" s="31">
        <v>389</v>
      </c>
      <c r="C529" s="32">
        <f t="shared" si="57"/>
        <v>7.7799999999999221</v>
      </c>
      <c r="D529" s="35">
        <f t="shared" si="58"/>
        <v>80</v>
      </c>
      <c r="E529" s="32">
        <f t="shared" si="60"/>
        <v>79.980967033670481</v>
      </c>
      <c r="F529" s="32">
        <f t="shared" si="60"/>
        <v>79.962582212178731</v>
      </c>
      <c r="G529" s="32">
        <f t="shared" si="60"/>
        <v>79.94547160857924</v>
      </c>
      <c r="H529" s="32">
        <f t="shared" si="60"/>
        <v>79.930217903942435</v>
      </c>
      <c r="I529" s="32">
        <f t="shared" si="60"/>
        <v>79.917340544900867</v>
      </c>
      <c r="J529" s="32">
        <f t="shared" si="60"/>
        <v>79.907278054455489</v>
      </c>
      <c r="K529" s="32">
        <f t="shared" si="60"/>
        <v>79.900373098664659</v>
      </c>
      <c r="L529" s="32">
        <f t="shared" si="62"/>
        <v>79.896860817505058</v>
      </c>
      <c r="M529" s="32">
        <f t="shared" si="61"/>
        <v>79.896860817505058</v>
      </c>
    </row>
    <row r="530" spans="2:13" x14ac:dyDescent="0.25">
      <c r="B530" s="31">
        <v>390</v>
      </c>
      <c r="C530" s="32">
        <f t="shared" si="57"/>
        <v>7.7999999999999217</v>
      </c>
      <c r="D530" s="35">
        <f t="shared" si="58"/>
        <v>80</v>
      </c>
      <c r="E530" s="32">
        <f t="shared" si="60"/>
        <v>79.981291106089373</v>
      </c>
      <c r="F530" s="32">
        <f t="shared" si="60"/>
        <v>79.963219321124853</v>
      </c>
      <c r="G530" s="32">
        <f t="shared" si="60"/>
        <v>79.94640005806059</v>
      </c>
      <c r="H530" s="32">
        <f t="shared" si="60"/>
        <v>79.931406076740046</v>
      </c>
      <c r="I530" s="32">
        <f t="shared" si="60"/>
        <v>79.918747979198969</v>
      </c>
      <c r="J530" s="32">
        <f t="shared" si="60"/>
        <v>79.908856821782763</v>
      </c>
      <c r="K530" s="32">
        <f t="shared" si="60"/>
        <v>79.90206943598028</v>
      </c>
      <c r="L530" s="32">
        <f t="shared" si="62"/>
        <v>79.898616958084858</v>
      </c>
      <c r="M530" s="32">
        <f t="shared" si="61"/>
        <v>79.898616958084858</v>
      </c>
    </row>
    <row r="531" spans="2:13" x14ac:dyDescent="0.25">
      <c r="B531" s="31">
        <v>391</v>
      </c>
      <c r="C531" s="32">
        <f t="shared" si="57"/>
        <v>7.8199999999999212</v>
      </c>
      <c r="D531" s="35">
        <f t="shared" si="58"/>
        <v>80</v>
      </c>
      <c r="E531" s="32">
        <f t="shared" si="60"/>
        <v>79.981609660562427</v>
      </c>
      <c r="F531" s="32">
        <f t="shared" si="60"/>
        <v>79.963845582074981</v>
      </c>
      <c r="G531" s="32">
        <f t="shared" si="60"/>
        <v>79.94731269893245</v>
      </c>
      <c r="H531" s="32">
        <f t="shared" si="60"/>
        <v>79.932574018629779</v>
      </c>
      <c r="I531" s="32">
        <f t="shared" si="60"/>
        <v>79.920131449261405</v>
      </c>
      <c r="J531" s="32">
        <f t="shared" si="60"/>
        <v>79.910408707589625</v>
      </c>
      <c r="K531" s="32">
        <f t="shared" si="60"/>
        <v>79.903736889933811</v>
      </c>
      <c r="L531" s="32">
        <f t="shared" si="62"/>
        <v>79.900343197032569</v>
      </c>
      <c r="M531" s="32">
        <f t="shared" si="61"/>
        <v>79.900343197032569</v>
      </c>
    </row>
    <row r="532" spans="2:13" x14ac:dyDescent="0.25">
      <c r="B532" s="31">
        <v>392</v>
      </c>
      <c r="C532" s="32">
        <f t="shared" si="57"/>
        <v>7.8399999999999208</v>
      </c>
      <c r="D532" s="35">
        <f t="shared" si="58"/>
        <v>80</v>
      </c>
      <c r="E532" s="32">
        <f t="shared" si="60"/>
        <v>79.981922791037491</v>
      </c>
      <c r="F532" s="32">
        <f t="shared" si="60"/>
        <v>79.964461179747445</v>
      </c>
      <c r="G532" s="32">
        <f t="shared" si="60"/>
        <v>79.948209800352373</v>
      </c>
      <c r="H532" s="32">
        <f t="shared" si="60"/>
        <v>79.93372207409692</v>
      </c>
      <c r="I532" s="32">
        <f t="shared" si="60"/>
        <v>79.921491363109709</v>
      </c>
      <c r="J532" s="32">
        <f t="shared" si="60"/>
        <v>79.9119341695976</v>
      </c>
      <c r="K532" s="32">
        <f t="shared" si="60"/>
        <v>79.90537595231109</v>
      </c>
      <c r="L532" s="32">
        <f t="shared" si="62"/>
        <v>79.902040043483197</v>
      </c>
      <c r="M532" s="32">
        <f t="shared" si="61"/>
        <v>79.902040043483197</v>
      </c>
    </row>
    <row r="533" spans="2:13" x14ac:dyDescent="0.25">
      <c r="B533" s="31">
        <v>393</v>
      </c>
      <c r="C533" s="32">
        <f t="shared" si="57"/>
        <v>7.8599999999999204</v>
      </c>
      <c r="D533" s="35">
        <f t="shared" si="58"/>
        <v>80</v>
      </c>
      <c r="E533" s="32">
        <f t="shared" si="60"/>
        <v>79.982230589873723</v>
      </c>
      <c r="F533" s="32">
        <f t="shared" si="60"/>
        <v>79.965066295694925</v>
      </c>
      <c r="G533" s="32">
        <f t="shared" si="60"/>
        <v>79.949091626922183</v>
      </c>
      <c r="H533" s="32">
        <f t="shared" si="60"/>
        <v>79.934850581731041</v>
      </c>
      <c r="I533" s="32">
        <f t="shared" si="60"/>
        <v>79.92282812184726</v>
      </c>
      <c r="J533" s="32">
        <f t="shared" si="60"/>
        <v>79.913433657710399</v>
      </c>
      <c r="K533" s="32">
        <f t="shared" si="60"/>
        <v>79.906987106540399</v>
      </c>
      <c r="L533" s="32">
        <f t="shared" si="62"/>
        <v>79.903707997897143</v>
      </c>
      <c r="M533" s="32">
        <f t="shared" si="61"/>
        <v>79.903707997897143</v>
      </c>
    </row>
    <row r="534" spans="2:13" x14ac:dyDescent="0.25">
      <c r="B534" s="31">
        <v>394</v>
      </c>
      <c r="C534" s="32">
        <f t="shared" si="57"/>
        <v>7.87999999999992</v>
      </c>
      <c r="D534" s="35">
        <f t="shared" si="58"/>
        <v>80</v>
      </c>
      <c r="E534" s="32">
        <f t="shared" si="60"/>
        <v>79.982533147847462</v>
      </c>
      <c r="F534" s="32">
        <f t="shared" si="60"/>
        <v>79.965661108397953</v>
      </c>
      <c r="G534" s="32">
        <f t="shared" si="60"/>
        <v>79.949958438712983</v>
      </c>
      <c r="H534" s="32">
        <f t="shared" si="60"/>
        <v>79.935959874384722</v>
      </c>
      <c r="I534" s="32">
        <f t="shared" si="60"/>
        <v>79.924142119720727</v>
      </c>
      <c r="J534" s="32">
        <f t="shared" si="60"/>
        <v>79.914907614193822</v>
      </c>
      <c r="K534" s="32">
        <f t="shared" si="60"/>
        <v>79.908570827803771</v>
      </c>
      <c r="L534" s="32">
        <f t="shared" si="62"/>
        <v>79.905347552218771</v>
      </c>
      <c r="M534" s="32">
        <f t="shared" si="61"/>
        <v>79.905347552218771</v>
      </c>
    </row>
    <row r="535" spans="2:13" x14ac:dyDescent="0.25">
      <c r="B535" s="31">
        <v>395</v>
      </c>
      <c r="C535" s="32">
        <f t="shared" si="57"/>
        <v>7.8999999999999195</v>
      </c>
      <c r="D535" s="35">
        <f t="shared" si="58"/>
        <v>80</v>
      </c>
      <c r="E535" s="32">
        <f t="shared" si="60"/>
        <v>79.982830554198983</v>
      </c>
      <c r="F535" s="32">
        <f t="shared" si="60"/>
        <v>79.966245793280223</v>
      </c>
      <c r="G535" s="32">
        <f t="shared" si="60"/>
        <v>79.950810491391337</v>
      </c>
      <c r="H535" s="32">
        <f t="shared" si="60"/>
        <v>79.937050279216862</v>
      </c>
      <c r="I535" s="32">
        <f t="shared" si="60"/>
        <v>79.925433744289279</v>
      </c>
      <c r="J535" s="32">
        <f t="shared" si="60"/>
        <v>79.916356473762249</v>
      </c>
      <c r="K535" s="32">
        <f t="shared" si="60"/>
        <v>79.910127583206304</v>
      </c>
      <c r="L535" s="32">
        <f t="shared" si="62"/>
        <v>79.906959190011264</v>
      </c>
      <c r="M535" s="32">
        <f t="shared" si="61"/>
        <v>79.906959190011264</v>
      </c>
    </row>
    <row r="536" spans="2:13" x14ac:dyDescent="0.25">
      <c r="B536" s="31">
        <v>396</v>
      </c>
      <c r="C536" s="32">
        <f t="shared" si="57"/>
        <v>7.9199999999999191</v>
      </c>
      <c r="D536" s="35">
        <f t="shared" si="58"/>
        <v>80</v>
      </c>
      <c r="E536" s="32">
        <f t="shared" si="60"/>
        <v>79.983122896640111</v>
      </c>
      <c r="F536" s="32">
        <f t="shared" si="60"/>
        <v>79.96682052279516</v>
      </c>
      <c r="G536" s="32">
        <f t="shared" si="60"/>
        <v>79.951648036248542</v>
      </c>
      <c r="H536" s="32">
        <f t="shared" si="60"/>
        <v>79.938122117840308</v>
      </c>
      <c r="I536" s="32">
        <f t="shared" si="60"/>
        <v>79.926703376489556</v>
      </c>
      <c r="J536" s="32">
        <f t="shared" si="60"/>
        <v>79.917780663747791</v>
      </c>
      <c r="K536" s="32">
        <f t="shared" si="60"/>
        <v>79.911657831886757</v>
      </c>
      <c r="L536" s="32">
        <f t="shared" si="62"/>
        <v>79.908543386608784</v>
      </c>
      <c r="M536" s="32">
        <f t="shared" si="61"/>
        <v>79.908543386608784</v>
      </c>
    </row>
    <row r="537" spans="2:13" x14ac:dyDescent="0.25">
      <c r="B537" s="31">
        <v>397</v>
      </c>
      <c r="C537" s="32">
        <f t="shared" si="57"/>
        <v>7.9399999999999187</v>
      </c>
      <c r="D537" s="35">
        <f t="shared" si="58"/>
        <v>80</v>
      </c>
      <c r="E537" s="32">
        <f t="shared" si="60"/>
        <v>79.98341026139758</v>
      </c>
      <c r="F537" s="32">
        <f t="shared" si="60"/>
        <v>79.967385466444327</v>
      </c>
      <c r="G537" s="32">
        <f t="shared" si="60"/>
        <v>79.952471320317727</v>
      </c>
      <c r="H537" s="32">
        <f t="shared" si="60"/>
        <v>79.939175706369042</v>
      </c>
      <c r="I537" s="32">
        <f t="shared" si="60"/>
        <v>79.92795139079405</v>
      </c>
      <c r="J537" s="32">
        <f t="shared" si="60"/>
        <v>79.919180604188156</v>
      </c>
      <c r="K537" s="32">
        <f t="shared" si="60"/>
        <v>79.913162025178281</v>
      </c>
      <c r="L537" s="32">
        <f t="shared" si="62"/>
        <v>79.910100609247763</v>
      </c>
      <c r="M537" s="32">
        <f t="shared" si="61"/>
        <v>79.910100609247763</v>
      </c>
    </row>
    <row r="538" spans="2:13" x14ac:dyDescent="0.25">
      <c r="B538" s="31">
        <v>398</v>
      </c>
      <c r="C538" s="32">
        <f t="shared" si="57"/>
        <v>7.9599999999999183</v>
      </c>
      <c r="D538" s="35">
        <f t="shared" si="58"/>
        <v>80</v>
      </c>
      <c r="E538" s="32">
        <f t="shared" si="60"/>
        <v>79.983692733222171</v>
      </c>
      <c r="F538" s="32">
        <f t="shared" si="60"/>
        <v>79.967940790857654</v>
      </c>
      <c r="G538" s="32">
        <f t="shared" si="60"/>
        <v>79.953280586406692</v>
      </c>
      <c r="H538" s="32">
        <f t="shared" si="60"/>
        <v>79.940211355555888</v>
      </c>
      <c r="I538" s="32">
        <f t="shared" si="60"/>
        <v>79.929178155278606</v>
      </c>
      <c r="J538" s="32">
        <f t="shared" si="60"/>
        <v>79.920556707986165</v>
      </c>
      <c r="K538" s="32">
        <f t="shared" si="60"/>
        <v>79.914640606717967</v>
      </c>
      <c r="L538" s="32">
        <f t="shared" si="62"/>
        <v>79.911631317213022</v>
      </c>
      <c r="M538" s="32">
        <f t="shared" si="61"/>
        <v>79.911631317213022</v>
      </c>
    </row>
    <row r="539" spans="2:13" x14ac:dyDescent="0.25">
      <c r="B539" s="31">
        <v>399</v>
      </c>
      <c r="C539" s="32">
        <f t="shared" si="57"/>
        <v>7.9799999999999178</v>
      </c>
      <c r="D539" s="35">
        <f t="shared" si="58"/>
        <v>80</v>
      </c>
      <c r="E539" s="32">
        <f t="shared" si="60"/>
        <v>79.983970395428827</v>
      </c>
      <c r="F539" s="32">
        <f t="shared" si="60"/>
        <v>79.968486659814431</v>
      </c>
      <c r="G539" s="32">
        <f t="shared" si="60"/>
        <v>79.954076073206778</v>
      </c>
      <c r="H539" s="32">
        <f t="shared" si="60"/>
        <v>79.941229370842649</v>
      </c>
      <c r="I539" s="32">
        <f t="shared" si="60"/>
        <v>79.930384031771027</v>
      </c>
      <c r="J539" s="32">
        <f t="shared" si="60"/>
        <v>79.921909380998287</v>
      </c>
      <c r="K539" s="32">
        <f t="shared" si="60"/>
        <v>79.916094012599586</v>
      </c>
      <c r="L539" s="32">
        <f t="shared" si="62"/>
        <v>79.913135961965494</v>
      </c>
      <c r="M539" s="32">
        <f t="shared" si="61"/>
        <v>79.913135961965494</v>
      </c>
    </row>
    <row r="540" spans="2:13" x14ac:dyDescent="0.25">
      <c r="B540" s="31">
        <v>400</v>
      </c>
      <c r="C540" s="32">
        <f t="shared" si="57"/>
        <v>7.9999999999999174</v>
      </c>
      <c r="D540" s="35">
        <f t="shared" si="58"/>
        <v>80</v>
      </c>
      <c r="E540" s="32">
        <f t="shared" si="60"/>
        <v>79.984243329907216</v>
      </c>
      <c r="F540" s="32">
        <f t="shared" si="60"/>
        <v>79.969023234317802</v>
      </c>
      <c r="G540" s="32">
        <f t="shared" si="60"/>
        <v>79.95485801532854</v>
      </c>
      <c r="H540" s="32">
        <f t="shared" si="60"/>
        <v>79.942230052488895</v>
      </c>
      <c r="I540" s="32">
        <f t="shared" si="60"/>
        <v>79.931569375920475</v>
      </c>
      <c r="J540" s="32">
        <f t="shared" si="60"/>
        <v>79.9232390221853</v>
      </c>
      <c r="K540" s="32">
        <f t="shared" si="60"/>
        <v>79.91752267148189</v>
      </c>
      <c r="L540" s="32">
        <f t="shared" si="62"/>
        <v>79.914614987282533</v>
      </c>
      <c r="M540" s="32">
        <f t="shared" si="61"/>
        <v>79.914614987282533</v>
      </c>
    </row>
    <row r="541" spans="2:13" x14ac:dyDescent="0.25">
      <c r="B541" s="31">
        <v>401</v>
      </c>
      <c r="C541" s="32">
        <f t="shared" si="57"/>
        <v>8.0199999999999179</v>
      </c>
      <c r="D541" s="35">
        <f t="shared" si="58"/>
        <v>80</v>
      </c>
      <c r="E541" s="32">
        <f t="shared" si="60"/>
        <v>79.984511617158901</v>
      </c>
      <c r="F541" s="32">
        <f t="shared" si="60"/>
        <v>79.969550672617885</v>
      </c>
      <c r="G541" s="32">
        <f t="shared" si="60"/>
        <v>79.955626643403349</v>
      </c>
      <c r="H541" s="32">
        <f t="shared" si="60"/>
        <v>79.943213695624507</v>
      </c>
      <c r="I541" s="32">
        <f t="shared" si="60"/>
        <v>79.932734537337097</v>
      </c>
      <c r="J541" s="32">
        <f t="shared" si="60"/>
        <v>79.924546023701183</v>
      </c>
      <c r="K541" s="32">
        <f t="shared" si="60"/>
        <v>79.918927004733916</v>
      </c>
      <c r="L541" s="32">
        <f t="shared" si="62"/>
        <v>79.916068829382212</v>
      </c>
      <c r="M541" s="32">
        <f t="shared" si="61"/>
        <v>79.916068829382212</v>
      </c>
    </row>
    <row r="542" spans="2:13" x14ac:dyDescent="0.25">
      <c r="B542" s="31">
        <v>402</v>
      </c>
      <c r="C542" s="32">
        <f t="shared" si="57"/>
        <v>8.0399999999999174</v>
      </c>
      <c r="D542" s="35">
        <f t="shared" si="58"/>
        <v>80</v>
      </c>
      <c r="E542" s="32">
        <f t="shared" si="60"/>
        <v>79.984775336308942</v>
      </c>
      <c r="F542" s="32">
        <f t="shared" si="60"/>
        <v>79.970069130281132</v>
      </c>
      <c r="G542" s="32">
        <f t="shared" si="60"/>
        <v>79.956382184121196</v>
      </c>
      <c r="H542" s="32">
        <f t="shared" si="60"/>
        <v>79.944180590370223</v>
      </c>
      <c r="I542" s="32">
        <f t="shared" si="60"/>
        <v>79.933879859662852</v>
      </c>
      <c r="J542" s="32">
        <f t="shared" si="60"/>
        <v>79.925830771035507</v>
      </c>
      <c r="K542" s="32">
        <f t="shared" si="60"/>
        <v>79.920307426541697</v>
      </c>
      <c r="L542" s="32">
        <f t="shared" si="62"/>
        <v>79.917497917058057</v>
      </c>
      <c r="M542" s="32">
        <f t="shared" si="61"/>
        <v>79.917497917058057</v>
      </c>
    </row>
    <row r="543" spans="2:13" x14ac:dyDescent="0.25">
      <c r="B543" s="31">
        <v>403</v>
      </c>
      <c r="C543" s="32">
        <f t="shared" si="57"/>
        <v>8.059999999999917</v>
      </c>
      <c r="D543" s="35">
        <f t="shared" si="58"/>
        <v>80</v>
      </c>
      <c r="E543" s="32">
        <f t="shared" si="60"/>
        <v>79.985034565140566</v>
      </c>
      <c r="F543" s="32">
        <f t="shared" si="60"/>
        <v>79.970578760215062</v>
      </c>
      <c r="G543" s="32">
        <f t="shared" si="60"/>
        <v>79.957124860325678</v>
      </c>
      <c r="H543" s="32">
        <f t="shared" si="60"/>
        <v>79.945131021892024</v>
      </c>
      <c r="I543" s="32">
        <f t="shared" si="60"/>
        <v>79.935005680702858</v>
      </c>
      <c r="J543" s="32">
        <f t="shared" si="60"/>
        <v>79.927093643102268</v>
      </c>
      <c r="K543" s="32">
        <f t="shared" si="60"/>
        <v>79.921664344046775</v>
      </c>
      <c r="L543" s="32">
        <f t="shared" si="62"/>
        <v>79.918902671799884</v>
      </c>
      <c r="M543" s="32">
        <f t="shared" si="61"/>
        <v>79.918902671799884</v>
      </c>
    </row>
    <row r="544" spans="2:13" x14ac:dyDescent="0.25">
      <c r="B544" s="31">
        <v>404</v>
      </c>
      <c r="C544" s="32">
        <f t="shared" si="57"/>
        <v>8.0799999999999166</v>
      </c>
      <c r="D544" s="35">
        <f t="shared" si="58"/>
        <v>80</v>
      </c>
      <c r="E544" s="32">
        <f t="shared" si="60"/>
        <v>79.985289380107531</v>
      </c>
      <c r="F544" s="32">
        <f t="shared" si="60"/>
        <v>79.971079712733115</v>
      </c>
      <c r="G544" s="32">
        <f t="shared" si="60"/>
        <v>79.957854891053543</v>
      </c>
      <c r="H544" s="32">
        <f t="shared" si="60"/>
        <v>79.946065270514268</v>
      </c>
      <c r="I544" s="32">
        <f t="shared" si="60"/>
        <v>79.936112332497146</v>
      </c>
      <c r="J544" s="32">
        <f t="shared" si="60"/>
        <v>79.928335012374816</v>
      </c>
      <c r="K544" s="32">
        <f t="shared" si="60"/>
        <v>79.922998157451076</v>
      </c>
      <c r="L544" s="32">
        <f t="shared" si="62"/>
        <v>79.92028350792333</v>
      </c>
      <c r="M544" s="32">
        <f t="shared" si="61"/>
        <v>79.92028350792333</v>
      </c>
    </row>
    <row r="545" spans="2:13" x14ac:dyDescent="0.25">
      <c r="B545" s="31">
        <v>405</v>
      </c>
      <c r="C545" s="32">
        <f t="shared" si="57"/>
        <v>8.0999999999999162</v>
      </c>
      <c r="D545" s="35">
        <f t="shared" si="58"/>
        <v>80</v>
      </c>
      <c r="E545" s="32">
        <f t="shared" si="60"/>
        <v>79.985539856366557</v>
      </c>
      <c r="F545" s="32">
        <f t="shared" si="60"/>
        <v>79.971572135580544</v>
      </c>
      <c r="G545" s="32">
        <f t="shared" si="60"/>
        <v>79.958572491623698</v>
      </c>
      <c r="H545" s="32">
        <f t="shared" si="60"/>
        <v>79.946983611775352</v>
      </c>
      <c r="I545" s="32">
        <f t="shared" si="60"/>
        <v>79.937200141444549</v>
      </c>
      <c r="J545" s="32">
        <f t="shared" si="60"/>
        <v>79.929555244974111</v>
      </c>
      <c r="K545" s="32">
        <f t="shared" si="60"/>
        <v>79.924309260149073</v>
      </c>
      <c r="L545" s="32">
        <f t="shared" si="62"/>
        <v>79.921640832687203</v>
      </c>
      <c r="M545" s="32">
        <f t="shared" si="61"/>
        <v>79.921640832687203</v>
      </c>
    </row>
    <row r="546" spans="2:13" x14ac:dyDescent="0.25">
      <c r="B546" s="31">
        <v>406</v>
      </c>
      <c r="C546" s="32">
        <f t="shared" si="57"/>
        <v>8.1199999999999157</v>
      </c>
      <c r="D546" s="35">
        <f t="shared" si="58"/>
        <v>80</v>
      </c>
      <c r="E546" s="32">
        <f t="shared" si="60"/>
        <v>79.985786067790272</v>
      </c>
      <c r="F546" s="32">
        <f t="shared" si="60"/>
        <v>79.972056173995128</v>
      </c>
      <c r="G546" s="32">
        <f t="shared" si="60"/>
        <v>79.959277873677948</v>
      </c>
      <c r="H546" s="32">
        <f t="shared" si="60"/>
        <v>79.947886316534124</v>
      </c>
      <c r="I546" s="32">
        <f t="shared" si="60"/>
        <v>79.938269428374724</v>
      </c>
      <c r="J546" s="32">
        <f t="shared" si="60"/>
        <v>79.930754700796811</v>
      </c>
      <c r="K546" s="32">
        <f t="shared" si="60"/>
        <v>79.925598038830657</v>
      </c>
      <c r="L546" s="32">
        <f t="shared" si="62"/>
        <v>79.922975046418145</v>
      </c>
      <c r="M546" s="32">
        <f t="shared" si="61"/>
        <v>79.922975046418145</v>
      </c>
    </row>
    <row r="547" spans="2:13" x14ac:dyDescent="0.25">
      <c r="B547" s="31">
        <v>407</v>
      </c>
      <c r="C547" s="32">
        <f t="shared" si="57"/>
        <v>8.1399999999999153</v>
      </c>
      <c r="D547" s="35">
        <f t="shared" si="58"/>
        <v>80</v>
      </c>
      <c r="E547" s="32">
        <f t="shared" si="60"/>
        <v>79.986028086997564</v>
      </c>
      <c r="F547" s="32">
        <f t="shared" si="60"/>
        <v>79.97253197073411</v>
      </c>
      <c r="G547" s="32">
        <f t="shared" si="60"/>
        <v>79.959971245264626</v>
      </c>
      <c r="H547" s="32">
        <f t="shared" si="60"/>
        <v>79.948773651026329</v>
      </c>
      <c r="I547" s="32">
        <f t="shared" si="60"/>
        <v>79.939320508665475</v>
      </c>
      <c r="J547" s="32">
        <f t="shared" si="60"/>
        <v>79.93193373360269</v>
      </c>
      <c r="K547" s="32">
        <f t="shared" si="60"/>
        <v>79.926864873607485</v>
      </c>
      <c r="L547" s="32">
        <f t="shared" si="62"/>
        <v>79.924286542624401</v>
      </c>
      <c r="M547" s="32">
        <f t="shared" si="61"/>
        <v>79.924286542624401</v>
      </c>
    </row>
    <row r="548" spans="2:13" x14ac:dyDescent="0.25">
      <c r="B548" s="31">
        <v>408</v>
      </c>
      <c r="C548" s="32">
        <f t="shared" si="57"/>
        <v>8.1599999999999149</v>
      </c>
      <c r="D548" s="35">
        <f t="shared" si="58"/>
        <v>80</v>
      </c>
      <c r="E548" s="32">
        <f t="shared" si="60"/>
        <v>79.986265985367055</v>
      </c>
      <c r="F548" s="32">
        <f t="shared" si="60"/>
        <v>79.972999666131102</v>
      </c>
      <c r="G548" s="32">
        <f t="shared" si="60"/>
        <v>79.960652810880219</v>
      </c>
      <c r="H548" s="32">
        <f t="shared" si="60"/>
        <v>79.94964587696505</v>
      </c>
      <c r="I548" s="32">
        <f t="shared" si="60"/>
        <v>79.940353692314517</v>
      </c>
      <c r="J548" s="32">
        <f t="shared" si="60"/>
        <v>79.93309269113648</v>
      </c>
      <c r="K548" s="32">
        <f t="shared" si="60"/>
        <v>79.928110138113539</v>
      </c>
      <c r="L548" s="32">
        <f t="shared" si="62"/>
        <v>79.925575708115943</v>
      </c>
      <c r="M548" s="32">
        <f t="shared" si="61"/>
        <v>79.925575708115943</v>
      </c>
    </row>
    <row r="549" spans="2:13" x14ac:dyDescent="0.25">
      <c r="B549" s="31">
        <v>409</v>
      </c>
      <c r="C549" s="32">
        <f t="shared" si="57"/>
        <v>8.1799999999999145</v>
      </c>
      <c r="D549" s="35">
        <f t="shared" si="58"/>
        <v>80</v>
      </c>
      <c r="E549" s="32">
        <f t="shared" si="60"/>
        <v>79.986499833065551</v>
      </c>
      <c r="F549" s="32">
        <f t="shared" si="60"/>
        <v>79.973459398123637</v>
      </c>
      <c r="G549" s="32">
        <f t="shared" si="60"/>
        <v>79.961322771548083</v>
      </c>
      <c r="H549" s="32">
        <f t="shared" si="60"/>
        <v>79.950503251597368</v>
      </c>
      <c r="I549" s="32">
        <f t="shared" si="60"/>
        <v>79.941369284050765</v>
      </c>
      <c r="J549" s="32">
        <f t="shared" si="60"/>
        <v>79.934231915214028</v>
      </c>
      <c r="K549" s="32">
        <f t="shared" si="60"/>
        <v>79.929334199626211</v>
      </c>
      <c r="L549" s="32">
        <f t="shared" si="62"/>
        <v>79.926842923114748</v>
      </c>
      <c r="M549" s="32">
        <f t="shared" si="61"/>
        <v>79.926842923114748</v>
      </c>
    </row>
    <row r="550" spans="2:13" x14ac:dyDescent="0.25">
      <c r="B550" s="31">
        <v>410</v>
      </c>
      <c r="C550" s="32">
        <f t="shared" si="57"/>
        <v>8.199999999999914</v>
      </c>
      <c r="D550" s="35">
        <f t="shared" si="58"/>
        <v>80</v>
      </c>
      <c r="E550" s="32">
        <f t="shared" si="60"/>
        <v>79.986729699061812</v>
      </c>
      <c r="F550" s="32">
        <f t="shared" si="60"/>
        <v>79.973911302306817</v>
      </c>
      <c r="G550" s="32">
        <f t="shared" si="60"/>
        <v>79.961981324860503</v>
      </c>
      <c r="H550" s="32">
        <f t="shared" si="60"/>
        <v>79.951346027799417</v>
      </c>
      <c r="I550" s="32">
        <f t="shared" si="60"/>
        <v>79.942367583405698</v>
      </c>
      <c r="J550" s="32">
        <f t="shared" si="60"/>
        <v>79.935351741838488</v>
      </c>
      <c r="K550" s="32">
        <f t="shared" si="60"/>
        <v>79.930537419164381</v>
      </c>
      <c r="L550" s="32">
        <f t="shared" si="62"/>
        <v>79.928088561370487</v>
      </c>
      <c r="M550" s="32">
        <f t="shared" si="61"/>
        <v>79.928088561370487</v>
      </c>
    </row>
    <row r="551" spans="2:13" x14ac:dyDescent="0.25">
      <c r="B551" s="31">
        <v>411</v>
      </c>
      <c r="C551" s="32">
        <f t="shared" si="57"/>
        <v>8.2199999999999136</v>
      </c>
      <c r="D551" s="35">
        <f t="shared" si="58"/>
        <v>80</v>
      </c>
      <c r="E551" s="32">
        <f t="shared" si="60"/>
        <v>79.986955651153409</v>
      </c>
      <c r="F551" s="32">
        <f t="shared" si="60"/>
        <v>79.974355511961164</v>
      </c>
      <c r="G551" s="32">
        <f t="shared" si="60"/>
        <v>79.962628665053117</v>
      </c>
      <c r="H551" s="32">
        <f t="shared" si="60"/>
        <v>79.9521744541331</v>
      </c>
      <c r="I551" s="32">
        <f t="shared" si="60"/>
        <v>79.94334888481896</v>
      </c>
      <c r="J551" s="32">
        <f t="shared" si="60"/>
        <v>79.936452501285032</v>
      </c>
      <c r="K551" s="32">
        <f t="shared" si="60"/>
        <v>79.93172015160448</v>
      </c>
      <c r="L551" s="32">
        <f t="shared" si="62"/>
        <v>79.929312990267434</v>
      </c>
      <c r="M551" s="32">
        <f t="shared" si="61"/>
        <v>79.929312990267434</v>
      </c>
    </row>
    <row r="552" spans="2:13" x14ac:dyDescent="0.25">
      <c r="B552" s="31">
        <v>412</v>
      </c>
      <c r="C552" s="32">
        <f t="shared" si="57"/>
        <v>8.2399999999999132</v>
      </c>
      <c r="D552" s="35">
        <f t="shared" si="58"/>
        <v>80</v>
      </c>
      <c r="E552" s="32">
        <f t="shared" si="60"/>
        <v>79.987177755980582</v>
      </c>
      <c r="F552" s="32">
        <f t="shared" si="60"/>
        <v>79.97479215810327</v>
      </c>
      <c r="G552" s="32">
        <f t="shared" si="60"/>
        <v>79.963264983047139</v>
      </c>
      <c r="H552" s="32">
        <f t="shared" si="60"/>
        <v>79.952988774936046</v>
      </c>
      <c r="I552" s="32">
        <f t="shared" si="60"/>
        <v>79.944313477709073</v>
      </c>
      <c r="J552" s="32">
        <f t="shared" si="60"/>
        <v>79.93753451821172</v>
      </c>
      <c r="K552" s="32">
        <f t="shared" si="60"/>
        <v>79.932882745776226</v>
      </c>
      <c r="L552" s="32">
        <f t="shared" si="62"/>
        <v>79.930516570935964</v>
      </c>
      <c r="M552" s="32">
        <f t="shared" si="61"/>
        <v>79.930516570935964</v>
      </c>
    </row>
    <row r="553" spans="2:13" x14ac:dyDescent="0.25">
      <c r="B553" s="31">
        <v>413</v>
      </c>
      <c r="C553" s="32">
        <f t="shared" si="57"/>
        <v>8.2599999999999127</v>
      </c>
      <c r="D553" s="35">
        <f t="shared" si="58"/>
        <v>80</v>
      </c>
      <c r="E553" s="32">
        <f t="shared" si="60"/>
        <v>79.987396079051635</v>
      </c>
      <c r="F553" s="32">
        <f t="shared" si="60"/>
        <v>79.975221369513861</v>
      </c>
      <c r="G553" s="32">
        <f t="shared" si="60"/>
        <v>79.963890466519658</v>
      </c>
      <c r="H553" s="32">
        <f t="shared" ref="E553:K577" si="63">(G552+I552)/2</f>
        <v>79.953789230378106</v>
      </c>
      <c r="I553" s="32">
        <f t="shared" si="63"/>
        <v>79.945261646573883</v>
      </c>
      <c r="J553" s="32">
        <f t="shared" si="63"/>
        <v>79.93859811174265</v>
      </c>
      <c r="K553" s="32">
        <f t="shared" si="63"/>
        <v>79.934025544573842</v>
      </c>
      <c r="L553" s="32">
        <f t="shared" si="62"/>
        <v>79.931699658356095</v>
      </c>
      <c r="M553" s="32">
        <f t="shared" si="61"/>
        <v>79.931699658356095</v>
      </c>
    </row>
    <row r="554" spans="2:13" x14ac:dyDescent="0.25">
      <c r="B554" s="31">
        <v>414</v>
      </c>
      <c r="C554" s="32">
        <f t="shared" si="57"/>
        <v>8.2799999999999123</v>
      </c>
      <c r="D554" s="35">
        <f t="shared" si="58"/>
        <v>80</v>
      </c>
      <c r="E554" s="32">
        <f t="shared" si="63"/>
        <v>79.98761068475693</v>
      </c>
      <c r="F554" s="32">
        <f t="shared" si="63"/>
        <v>79.975643272785646</v>
      </c>
      <c r="G554" s="32">
        <f t="shared" si="63"/>
        <v>79.964505299945984</v>
      </c>
      <c r="H554" s="32">
        <f t="shared" si="63"/>
        <v>79.95457605654677</v>
      </c>
      <c r="I554" s="32">
        <f t="shared" si="63"/>
        <v>79.946193671060371</v>
      </c>
      <c r="J554" s="32">
        <f t="shared" si="63"/>
        <v>79.93964359557387</v>
      </c>
      <c r="K554" s="32">
        <f t="shared" si="63"/>
        <v>79.935148885049372</v>
      </c>
      <c r="L554" s="32">
        <f t="shared" si="62"/>
        <v>79.932862601464961</v>
      </c>
      <c r="M554" s="32">
        <f t="shared" si="61"/>
        <v>79.932862601464961</v>
      </c>
    </row>
    <row r="555" spans="2:13" x14ac:dyDescent="0.25">
      <c r="B555" s="31">
        <v>415</v>
      </c>
      <c r="C555" s="32">
        <f t="shared" si="57"/>
        <v>8.2999999999999119</v>
      </c>
      <c r="D555" s="35">
        <f t="shared" si="58"/>
        <v>80</v>
      </c>
      <c r="E555" s="32">
        <f t="shared" si="63"/>
        <v>79.987821636392823</v>
      </c>
      <c r="F555" s="32">
        <f t="shared" si="63"/>
        <v>79.976057992351457</v>
      </c>
      <c r="G555" s="32">
        <f t="shared" si="63"/>
        <v>79.965109664666215</v>
      </c>
      <c r="H555" s="32">
        <f t="shared" si="63"/>
        <v>79.955349485503177</v>
      </c>
      <c r="I555" s="32">
        <f t="shared" si="63"/>
        <v>79.947109826060313</v>
      </c>
      <c r="J555" s="32">
        <f t="shared" si="63"/>
        <v>79.940671278054879</v>
      </c>
      <c r="K555" s="32">
        <f t="shared" si="63"/>
        <v>79.936253098519416</v>
      </c>
      <c r="L555" s="32">
        <f t="shared" si="62"/>
        <v>79.93400574325716</v>
      </c>
      <c r="M555" s="32">
        <f t="shared" si="61"/>
        <v>79.93400574325716</v>
      </c>
    </row>
    <row r="556" spans="2:13" x14ac:dyDescent="0.25">
      <c r="B556" s="31">
        <v>416</v>
      </c>
      <c r="C556" s="32">
        <f t="shared" si="57"/>
        <v>8.3199999999999115</v>
      </c>
      <c r="D556" s="35">
        <f t="shared" si="58"/>
        <v>80</v>
      </c>
      <c r="E556" s="32">
        <f t="shared" si="63"/>
        <v>79.988028996175728</v>
      </c>
      <c r="F556" s="32">
        <f t="shared" si="63"/>
        <v>79.976465650529519</v>
      </c>
      <c r="G556" s="32">
        <f t="shared" si="63"/>
        <v>79.965703738927317</v>
      </c>
      <c r="H556" s="32">
        <f t="shared" si="63"/>
        <v>79.956109745363264</v>
      </c>
      <c r="I556" s="32">
        <f t="shared" si="63"/>
        <v>79.948010381779028</v>
      </c>
      <c r="J556" s="32">
        <f t="shared" si="63"/>
        <v>79.941681462289864</v>
      </c>
      <c r="K556" s="32">
        <f t="shared" si="63"/>
        <v>79.937338510656019</v>
      </c>
      <c r="L556" s="32">
        <f t="shared" si="62"/>
        <v>79.935129420888288</v>
      </c>
      <c r="M556" s="32">
        <f t="shared" si="61"/>
        <v>79.935129420888288</v>
      </c>
    </row>
    <row r="557" spans="2:13" x14ac:dyDescent="0.25">
      <c r="B557" s="31">
        <v>417</v>
      </c>
      <c r="C557" s="32">
        <f t="shared" si="57"/>
        <v>8.339999999999911</v>
      </c>
      <c r="D557" s="35">
        <f t="shared" si="58"/>
        <v>80</v>
      </c>
      <c r="E557" s="32">
        <f t="shared" si="63"/>
        <v>79.98823282526476</v>
      </c>
      <c r="F557" s="32">
        <f t="shared" si="63"/>
        <v>79.976866367551523</v>
      </c>
      <c r="G557" s="32">
        <f t="shared" si="63"/>
        <v>79.966287697946399</v>
      </c>
      <c r="H557" s="32">
        <f t="shared" si="63"/>
        <v>79.956857060353173</v>
      </c>
      <c r="I557" s="32">
        <f t="shared" si="63"/>
        <v>79.948895603826571</v>
      </c>
      <c r="J557" s="32">
        <f t="shared" si="63"/>
        <v>79.942674446217524</v>
      </c>
      <c r="K557" s="32">
        <f t="shared" si="63"/>
        <v>79.938405441589083</v>
      </c>
      <c r="L557" s="32">
        <f t="shared" si="62"/>
        <v>79.936233965772146</v>
      </c>
      <c r="M557" s="32">
        <f t="shared" si="61"/>
        <v>79.936233965772146</v>
      </c>
    </row>
    <row r="558" spans="2:13" x14ac:dyDescent="0.25">
      <c r="B558" s="31">
        <v>418</v>
      </c>
      <c r="C558" s="32">
        <f t="shared" si="57"/>
        <v>8.3599999999999106</v>
      </c>
      <c r="D558" s="35">
        <f t="shared" si="58"/>
        <v>80</v>
      </c>
      <c r="E558" s="32">
        <f t="shared" si="63"/>
        <v>79.988433183775754</v>
      </c>
      <c r="F558" s="32">
        <f t="shared" si="63"/>
        <v>79.977260261605579</v>
      </c>
      <c r="G558" s="32">
        <f t="shared" si="63"/>
        <v>79.966861713952341</v>
      </c>
      <c r="H558" s="32">
        <f t="shared" si="63"/>
        <v>79.957591650886485</v>
      </c>
      <c r="I558" s="32">
        <f t="shared" si="63"/>
        <v>79.949765753285348</v>
      </c>
      <c r="J558" s="32">
        <f t="shared" si="63"/>
        <v>79.943650522707827</v>
      </c>
      <c r="K558" s="32">
        <f t="shared" si="63"/>
        <v>79.939454205994835</v>
      </c>
      <c r="L558" s="32">
        <f t="shared" si="62"/>
        <v>79.937319703680615</v>
      </c>
      <c r="M558" s="32">
        <f t="shared" si="61"/>
        <v>79.937319703680615</v>
      </c>
    </row>
    <row r="559" spans="2:13" x14ac:dyDescent="0.25">
      <c r="B559" s="31">
        <v>419</v>
      </c>
      <c r="C559" s="32">
        <f t="shared" si="57"/>
        <v>8.3799999999999102</v>
      </c>
      <c r="D559" s="35">
        <f t="shared" si="58"/>
        <v>80</v>
      </c>
      <c r="E559" s="32">
        <f t="shared" si="63"/>
        <v>79.98863013080279</v>
      </c>
      <c r="F559" s="32">
        <f t="shared" si="63"/>
        <v>79.977647448864047</v>
      </c>
      <c r="G559" s="32">
        <f t="shared" si="63"/>
        <v>79.967425956246032</v>
      </c>
      <c r="H559" s="32">
        <f t="shared" si="63"/>
        <v>79.958313733618837</v>
      </c>
      <c r="I559" s="32">
        <f t="shared" si="63"/>
        <v>79.950621086797156</v>
      </c>
      <c r="J559" s="32">
        <f t="shared" si="63"/>
        <v>79.944609979640092</v>
      </c>
      <c r="K559" s="32">
        <f t="shared" si="63"/>
        <v>79.940485113194228</v>
      </c>
      <c r="L559" s="32">
        <f t="shared" si="62"/>
        <v>79.938386954837725</v>
      </c>
      <c r="M559" s="32">
        <f t="shared" si="61"/>
        <v>79.938386954837725</v>
      </c>
    </row>
    <row r="560" spans="2:13" x14ac:dyDescent="0.25">
      <c r="B560" s="31">
        <v>420</v>
      </c>
      <c r="C560" s="32">
        <f t="shared" si="57"/>
        <v>8.3999999999999098</v>
      </c>
      <c r="D560" s="35">
        <f t="shared" si="58"/>
        <v>80</v>
      </c>
      <c r="E560" s="32">
        <f t="shared" si="63"/>
        <v>79.988823724432024</v>
      </c>
      <c r="F560" s="32">
        <f t="shared" si="63"/>
        <v>79.978028043524404</v>
      </c>
      <c r="G560" s="32">
        <f t="shared" si="63"/>
        <v>79.967980591241442</v>
      </c>
      <c r="H560" s="32">
        <f t="shared" si="63"/>
        <v>79.959023521521601</v>
      </c>
      <c r="I560" s="32">
        <f t="shared" si="63"/>
        <v>79.951461856629464</v>
      </c>
      <c r="J560" s="32">
        <f t="shared" si="63"/>
        <v>79.945553099995692</v>
      </c>
      <c r="K560" s="32">
        <f t="shared" si="63"/>
        <v>79.941498467238915</v>
      </c>
      <c r="L560" s="32">
        <f t="shared" si="62"/>
        <v>79.939436034015984</v>
      </c>
      <c r="M560" s="32">
        <f t="shared" si="61"/>
        <v>79.939436034015984</v>
      </c>
    </row>
    <row r="561" spans="2:13" x14ac:dyDescent="0.25">
      <c r="B561" s="31">
        <v>421</v>
      </c>
      <c r="C561" s="32">
        <f t="shared" si="57"/>
        <v>8.4199999999999093</v>
      </c>
      <c r="D561" s="35">
        <f t="shared" si="58"/>
        <v>80</v>
      </c>
      <c r="E561" s="32">
        <f t="shared" si="63"/>
        <v>79.989014021762202</v>
      </c>
      <c r="F561" s="32">
        <f t="shared" si="63"/>
        <v>79.97840215783674</v>
      </c>
      <c r="G561" s="32">
        <f t="shared" si="63"/>
        <v>79.968525782523002</v>
      </c>
      <c r="H561" s="32">
        <f t="shared" si="63"/>
        <v>79.959721223935446</v>
      </c>
      <c r="I561" s="32">
        <f t="shared" si="63"/>
        <v>79.952288310758647</v>
      </c>
      <c r="J561" s="32">
        <f t="shared" si="63"/>
        <v>79.94648016193419</v>
      </c>
      <c r="K561" s="32">
        <f t="shared" si="63"/>
        <v>79.942494567005838</v>
      </c>
      <c r="L561" s="32">
        <f t="shared" si="62"/>
        <v>79.940467250627449</v>
      </c>
      <c r="M561" s="32">
        <f t="shared" si="61"/>
        <v>79.940467250627449</v>
      </c>
    </row>
    <row r="562" spans="2:13" x14ac:dyDescent="0.25">
      <c r="B562" s="31">
        <v>422</v>
      </c>
      <c r="C562" s="32">
        <f t="shared" si="57"/>
        <v>8.4399999999999089</v>
      </c>
      <c r="D562" s="35">
        <f t="shared" si="58"/>
        <v>80</v>
      </c>
      <c r="E562" s="32">
        <f t="shared" si="63"/>
        <v>79.98920107891837</v>
      </c>
      <c r="F562" s="32">
        <f t="shared" si="63"/>
        <v>79.978769902142602</v>
      </c>
      <c r="G562" s="32">
        <f t="shared" si="63"/>
        <v>79.969061690886093</v>
      </c>
      <c r="H562" s="32">
        <f t="shared" si="63"/>
        <v>79.960407046640825</v>
      </c>
      <c r="I562" s="32">
        <f t="shared" si="63"/>
        <v>79.953100692934811</v>
      </c>
      <c r="J562" s="32">
        <f t="shared" si="63"/>
        <v>79.947391438882249</v>
      </c>
      <c r="K562" s="32">
        <f t="shared" si="63"/>
        <v>79.943473706280827</v>
      </c>
      <c r="L562" s="32">
        <f t="shared" si="62"/>
        <v>79.941480908816644</v>
      </c>
      <c r="M562" s="32">
        <f t="shared" si="61"/>
        <v>79.941480908816644</v>
      </c>
    </row>
    <row r="563" spans="2:13" x14ac:dyDescent="0.25">
      <c r="B563" s="31">
        <v>423</v>
      </c>
      <c r="C563" s="32">
        <f t="shared" si="57"/>
        <v>8.4599999999999085</v>
      </c>
      <c r="D563" s="35">
        <f t="shared" si="58"/>
        <v>80</v>
      </c>
      <c r="E563" s="32">
        <f t="shared" si="63"/>
        <v>79.989384951071301</v>
      </c>
      <c r="F563" s="32">
        <f t="shared" si="63"/>
        <v>79.979131384902232</v>
      </c>
      <c r="G563" s="32">
        <f t="shared" si="63"/>
        <v>79.969588474391713</v>
      </c>
      <c r="H563" s="32">
        <f t="shared" si="63"/>
        <v>79.961081191910452</v>
      </c>
      <c r="I563" s="32">
        <f t="shared" si="63"/>
        <v>79.953899242761537</v>
      </c>
      <c r="J563" s="32">
        <f t="shared" si="63"/>
        <v>79.948287199607819</v>
      </c>
      <c r="K563" s="32">
        <f t="shared" si="63"/>
        <v>79.944436173849454</v>
      </c>
      <c r="L563" s="32">
        <f t="shared" si="62"/>
        <v>79.942477307548728</v>
      </c>
      <c r="M563" s="32">
        <f t="shared" si="61"/>
        <v>79.942477307548728</v>
      </c>
    </row>
    <row r="564" spans="2:13" x14ac:dyDescent="0.25">
      <c r="B564" s="31">
        <v>424</v>
      </c>
      <c r="C564" s="32">
        <f t="shared" si="57"/>
        <v>8.4799999999999081</v>
      </c>
      <c r="D564" s="35">
        <f t="shared" si="58"/>
        <v>80</v>
      </c>
      <c r="E564" s="32">
        <f t="shared" si="63"/>
        <v>79.989565692451123</v>
      </c>
      <c r="F564" s="32">
        <f t="shared" si="63"/>
        <v>79.9794867127315</v>
      </c>
      <c r="G564" s="32">
        <f t="shared" si="63"/>
        <v>79.970106288406342</v>
      </c>
      <c r="H564" s="32">
        <f t="shared" si="63"/>
        <v>79.961743858576625</v>
      </c>
      <c r="I564" s="32">
        <f t="shared" si="63"/>
        <v>79.954684195759143</v>
      </c>
      <c r="J564" s="32">
        <f t="shared" si="63"/>
        <v>79.949167708305495</v>
      </c>
      <c r="K564" s="32">
        <f t="shared" si="63"/>
        <v>79.945382253578273</v>
      </c>
      <c r="L564" s="32">
        <f t="shared" si="62"/>
        <v>79.943456740699091</v>
      </c>
      <c r="M564" s="32">
        <f t="shared" si="61"/>
        <v>79.943456740699091</v>
      </c>
    </row>
    <row r="565" spans="2:13" x14ac:dyDescent="0.25">
      <c r="B565" s="31">
        <v>425</v>
      </c>
      <c r="C565" s="32">
        <f t="shared" si="57"/>
        <v>8.4999999999999076</v>
      </c>
      <c r="D565" s="35">
        <f t="shared" si="58"/>
        <v>80</v>
      </c>
      <c r="E565" s="32">
        <f t="shared" si="63"/>
        <v>79.98974335636575</v>
      </c>
      <c r="F565" s="32">
        <f t="shared" si="63"/>
        <v>79.979835990428739</v>
      </c>
      <c r="G565" s="32">
        <f t="shared" si="63"/>
        <v>79.970615285654063</v>
      </c>
      <c r="H565" s="32">
        <f t="shared" si="63"/>
        <v>79.962395242082749</v>
      </c>
      <c r="I565" s="32">
        <f t="shared" si="63"/>
        <v>79.955455783441067</v>
      </c>
      <c r="J565" s="32">
        <f t="shared" si="63"/>
        <v>79.950033224668715</v>
      </c>
      <c r="K565" s="32">
        <f t="shared" si="63"/>
        <v>79.946312224502293</v>
      </c>
      <c r="L565" s="32">
        <f t="shared" si="62"/>
        <v>79.944419497138682</v>
      </c>
      <c r="M565" s="32">
        <f t="shared" si="61"/>
        <v>79.944419497138682</v>
      </c>
    </row>
    <row r="566" spans="2:13" x14ac:dyDescent="0.25">
      <c r="B566" s="31">
        <v>426</v>
      </c>
      <c r="C566" s="32">
        <f t="shared" ref="C566:C579" si="64">C565+$E$138</f>
        <v>8.5199999999999072</v>
      </c>
      <c r="D566" s="35">
        <f t="shared" ref="D566:D579" si="65">D565</f>
        <v>80</v>
      </c>
      <c r="E566" s="32">
        <f t="shared" si="63"/>
        <v>79.98991799521437</v>
      </c>
      <c r="F566" s="32">
        <f t="shared" si="63"/>
        <v>79.980179321009899</v>
      </c>
      <c r="G566" s="32">
        <f t="shared" si="63"/>
        <v>79.971115616255744</v>
      </c>
      <c r="H566" s="32">
        <f t="shared" si="63"/>
        <v>79.963035534547572</v>
      </c>
      <c r="I566" s="32">
        <f t="shared" si="63"/>
        <v>79.956214233375732</v>
      </c>
      <c r="J566" s="32">
        <f t="shared" si="63"/>
        <v>79.95088400397168</v>
      </c>
      <c r="K566" s="32">
        <f t="shared" si="63"/>
        <v>79.947226360903699</v>
      </c>
      <c r="L566" s="32">
        <f t="shared" si="62"/>
        <v>79.945365860820488</v>
      </c>
      <c r="M566" s="32">
        <f t="shared" si="61"/>
        <v>79.945365860820488</v>
      </c>
    </row>
    <row r="567" spans="2:13" x14ac:dyDescent="0.25">
      <c r="B567" s="31">
        <v>427</v>
      </c>
      <c r="C567" s="32">
        <f t="shared" si="64"/>
        <v>8.5399999999999068</v>
      </c>
      <c r="D567" s="35">
        <f t="shared" si="65"/>
        <v>80</v>
      </c>
      <c r="E567" s="32">
        <f t="shared" si="63"/>
        <v>79.99008966050495</v>
      </c>
      <c r="F567" s="32">
        <f t="shared" si="63"/>
        <v>79.98051680573505</v>
      </c>
      <c r="G567" s="32">
        <f t="shared" si="63"/>
        <v>79.971607427778736</v>
      </c>
      <c r="H567" s="32">
        <f t="shared" si="63"/>
        <v>79.963664924815731</v>
      </c>
      <c r="I567" s="32">
        <f t="shared" si="63"/>
        <v>79.956959769259626</v>
      </c>
      <c r="J567" s="32">
        <f t="shared" si="63"/>
        <v>79.951720297139715</v>
      </c>
      <c r="K567" s="32">
        <f t="shared" si="63"/>
        <v>79.948124932396084</v>
      </c>
      <c r="L567" s="32">
        <f t="shared" si="62"/>
        <v>79.946296110862093</v>
      </c>
      <c r="M567" s="32">
        <f t="shared" si="61"/>
        <v>79.946296110862093</v>
      </c>
    </row>
    <row r="568" spans="2:13" x14ac:dyDescent="0.25">
      <c r="B568" s="31">
        <v>428</v>
      </c>
      <c r="C568" s="32">
        <f t="shared" si="64"/>
        <v>8.5599999999999064</v>
      </c>
      <c r="D568" s="35">
        <f t="shared" si="65"/>
        <v>80</v>
      </c>
      <c r="E568" s="32">
        <f t="shared" si="63"/>
        <v>79.990258402867525</v>
      </c>
      <c r="F568" s="32">
        <f t="shared" si="63"/>
        <v>79.98084854414185</v>
      </c>
      <c r="G568" s="32">
        <f t="shared" si="63"/>
        <v>79.972090865275391</v>
      </c>
      <c r="H568" s="32">
        <f t="shared" si="63"/>
        <v>79.964283598519188</v>
      </c>
      <c r="I568" s="32">
        <f t="shared" si="63"/>
        <v>79.957692610977716</v>
      </c>
      <c r="J568" s="32">
        <f t="shared" si="63"/>
        <v>79.952542350827855</v>
      </c>
      <c r="K568" s="32">
        <f t="shared" si="63"/>
        <v>79.949008204000904</v>
      </c>
      <c r="L568" s="32">
        <f t="shared" si="62"/>
        <v>79.947210521629088</v>
      </c>
      <c r="M568" s="32">
        <f t="shared" si="61"/>
        <v>79.947210521629088</v>
      </c>
    </row>
    <row r="569" spans="2:13" x14ac:dyDescent="0.25">
      <c r="B569" s="31">
        <v>429</v>
      </c>
      <c r="C569" s="32">
        <f t="shared" si="64"/>
        <v>8.5799999999999059</v>
      </c>
      <c r="D569" s="35">
        <f t="shared" si="65"/>
        <v>80</v>
      </c>
      <c r="E569" s="32">
        <f t="shared" si="63"/>
        <v>79.990424272070925</v>
      </c>
      <c r="F569" s="32">
        <f t="shared" si="63"/>
        <v>79.981174634071465</v>
      </c>
      <c r="G569" s="32">
        <f t="shared" si="63"/>
        <v>79.972566071330519</v>
      </c>
      <c r="H569" s="32">
        <f t="shared" si="63"/>
        <v>79.964891738126553</v>
      </c>
      <c r="I569" s="32">
        <f t="shared" si="63"/>
        <v>79.958412974673521</v>
      </c>
      <c r="J569" s="32">
        <f t="shared" si="63"/>
        <v>79.95335040748931</v>
      </c>
      <c r="K569" s="32">
        <f t="shared" si="63"/>
        <v>79.949876436228465</v>
      </c>
      <c r="L569" s="32">
        <f t="shared" si="62"/>
        <v>79.948109362814989</v>
      </c>
      <c r="M569" s="32">
        <f t="shared" si="61"/>
        <v>79.948109362814989</v>
      </c>
    </row>
    <row r="570" spans="2:13" x14ac:dyDescent="0.25">
      <c r="B570" s="31">
        <v>430</v>
      </c>
      <c r="C570" s="32">
        <f t="shared" si="64"/>
        <v>8.5999999999999055</v>
      </c>
      <c r="D570" s="35">
        <f t="shared" si="65"/>
        <v>80</v>
      </c>
      <c r="E570" s="32">
        <f t="shared" si="63"/>
        <v>79.990587317035732</v>
      </c>
      <c r="F570" s="32">
        <f t="shared" si="63"/>
        <v>79.981495171700715</v>
      </c>
      <c r="G570" s="32">
        <f t="shared" si="63"/>
        <v>79.973033186099002</v>
      </c>
      <c r="H570" s="32">
        <f t="shared" si="63"/>
        <v>79.96548952300202</v>
      </c>
      <c r="I570" s="32">
        <f t="shared" si="63"/>
        <v>79.959121072807932</v>
      </c>
      <c r="J570" s="32">
        <f t="shared" si="63"/>
        <v>79.954144705451</v>
      </c>
      <c r="K570" s="32">
        <f t="shared" si="63"/>
        <v>79.950729885152157</v>
      </c>
      <c r="L570" s="32">
        <f t="shared" si="62"/>
        <v>79.948992899521727</v>
      </c>
      <c r="M570" s="32">
        <f t="shared" si="61"/>
        <v>79.948992899521727</v>
      </c>
    </row>
    <row r="571" spans="2:13" x14ac:dyDescent="0.25">
      <c r="B571" s="31">
        <v>431</v>
      </c>
      <c r="C571" s="32">
        <f t="shared" si="64"/>
        <v>8.6199999999999051</v>
      </c>
      <c r="D571" s="35">
        <f t="shared" si="65"/>
        <v>80</v>
      </c>
      <c r="E571" s="32">
        <f t="shared" si="63"/>
        <v>79.990747585850357</v>
      </c>
      <c r="F571" s="32">
        <f t="shared" si="63"/>
        <v>79.981810251567367</v>
      </c>
      <c r="G571" s="32">
        <f t="shared" si="63"/>
        <v>79.973492347351367</v>
      </c>
      <c r="H571" s="32">
        <f t="shared" si="63"/>
        <v>79.966077129453467</v>
      </c>
      <c r="I571" s="32">
        <f t="shared" si="63"/>
        <v>79.95981711422651</v>
      </c>
      <c r="J571" s="32">
        <f t="shared" si="63"/>
        <v>79.954925478980044</v>
      </c>
      <c r="K571" s="32">
        <f t="shared" si="63"/>
        <v>79.951568802486364</v>
      </c>
      <c r="L571" s="32">
        <f t="shared" si="62"/>
        <v>79.949861392336942</v>
      </c>
      <c r="M571" s="32">
        <f t="shared" si="61"/>
        <v>79.949861392336942</v>
      </c>
    </row>
    <row r="572" spans="2:13" x14ac:dyDescent="0.25">
      <c r="B572" s="31">
        <v>432</v>
      </c>
      <c r="C572" s="32">
        <f t="shared" si="64"/>
        <v>8.6399999999999046</v>
      </c>
      <c r="D572" s="35">
        <f t="shared" si="65"/>
        <v>80</v>
      </c>
      <c r="E572" s="32">
        <f t="shared" si="63"/>
        <v>79.990905125783684</v>
      </c>
      <c r="F572" s="32">
        <f t="shared" si="63"/>
        <v>79.982119966600862</v>
      </c>
      <c r="G572" s="32">
        <f t="shared" si="63"/>
        <v>79.973943690510424</v>
      </c>
      <c r="H572" s="32">
        <f t="shared" si="63"/>
        <v>79.966654730788946</v>
      </c>
      <c r="I572" s="32">
        <f t="shared" si="63"/>
        <v>79.960501304216763</v>
      </c>
      <c r="J572" s="32">
        <f t="shared" si="63"/>
        <v>79.955692958356437</v>
      </c>
      <c r="K572" s="32">
        <f t="shared" si="63"/>
        <v>79.952393435658493</v>
      </c>
      <c r="L572" s="32">
        <f t="shared" si="62"/>
        <v>79.95071509741166</v>
      </c>
      <c r="M572" s="32">
        <f t="shared" si="61"/>
        <v>79.95071509741166</v>
      </c>
    </row>
    <row r="573" spans="2:13" x14ac:dyDescent="0.25">
      <c r="B573" s="31">
        <v>433</v>
      </c>
      <c r="C573" s="32">
        <f t="shared" si="64"/>
        <v>8.6599999999999042</v>
      </c>
      <c r="D573" s="35">
        <f t="shared" si="65"/>
        <v>80</v>
      </c>
      <c r="E573" s="32">
        <f t="shared" si="63"/>
        <v>79.991059983300431</v>
      </c>
      <c r="F573" s="32">
        <f t="shared" si="63"/>
        <v>79.982424408147054</v>
      </c>
      <c r="G573" s="32">
        <f t="shared" si="63"/>
        <v>79.974387348694904</v>
      </c>
      <c r="H573" s="32">
        <f t="shared" si="63"/>
        <v>79.967222497363593</v>
      </c>
      <c r="I573" s="32">
        <f t="shared" si="63"/>
        <v>79.961173844572698</v>
      </c>
      <c r="J573" s="32">
        <f t="shared" si="63"/>
        <v>79.956447369937621</v>
      </c>
      <c r="K573" s="32">
        <f t="shared" si="63"/>
        <v>79.953204027884055</v>
      </c>
      <c r="L573" s="32">
        <f t="shared" si="62"/>
        <v>79.951554266535084</v>
      </c>
      <c r="M573" s="32">
        <f t="shared" si="61"/>
        <v>79.951554266535084</v>
      </c>
    </row>
    <row r="574" spans="2:13" x14ac:dyDescent="0.25">
      <c r="B574" s="31">
        <v>434</v>
      </c>
      <c r="C574" s="32">
        <f t="shared" si="64"/>
        <v>8.6799999999999038</v>
      </c>
      <c r="D574" s="35">
        <f t="shared" si="65"/>
        <v>80</v>
      </c>
      <c r="E574" s="32">
        <f t="shared" si="63"/>
        <v>79.99121220407352</v>
      </c>
      <c r="F574" s="32">
        <f t="shared" si="63"/>
        <v>79.982723665997668</v>
      </c>
      <c r="G574" s="32">
        <f t="shared" si="63"/>
        <v>79.974823452755317</v>
      </c>
      <c r="H574" s="32">
        <f t="shared" si="63"/>
        <v>79.967780596633801</v>
      </c>
      <c r="I574" s="32">
        <f t="shared" si="63"/>
        <v>79.961834933650607</v>
      </c>
      <c r="J574" s="32">
        <f t="shared" si="63"/>
        <v>79.957188936228377</v>
      </c>
      <c r="K574" s="32">
        <f t="shared" si="63"/>
        <v>79.954000818236352</v>
      </c>
      <c r="L574" s="32">
        <f t="shared" si="62"/>
        <v>79.95237914720957</v>
      </c>
      <c r="M574" s="32">
        <f t="shared" si="61"/>
        <v>79.95237914720957</v>
      </c>
    </row>
    <row r="575" spans="2:13" x14ac:dyDescent="0.25">
      <c r="B575" s="31">
        <v>435</v>
      </c>
      <c r="C575" s="32">
        <f t="shared" si="64"/>
        <v>8.6999999999999034</v>
      </c>
      <c r="D575" s="35">
        <f t="shared" si="65"/>
        <v>80</v>
      </c>
      <c r="E575" s="32">
        <f t="shared" si="63"/>
        <v>79.991361832998834</v>
      </c>
      <c r="F575" s="32">
        <f t="shared" si="63"/>
        <v>79.983017828414418</v>
      </c>
      <c r="G575" s="32">
        <f t="shared" si="63"/>
        <v>79.975252131315727</v>
      </c>
      <c r="H575" s="32">
        <f t="shared" si="63"/>
        <v>79.968329193202962</v>
      </c>
      <c r="I575" s="32">
        <f t="shared" si="63"/>
        <v>79.962484766431089</v>
      </c>
      <c r="J575" s="32">
        <f t="shared" si="63"/>
        <v>79.95791787594348</v>
      </c>
      <c r="K575" s="32">
        <f t="shared" si="63"/>
        <v>79.954784041718966</v>
      </c>
      <c r="L575" s="32">
        <f t="shared" si="62"/>
        <v>79.953189982722961</v>
      </c>
      <c r="M575" s="32">
        <f t="shared" si="61"/>
        <v>79.953189982722961</v>
      </c>
    </row>
    <row r="576" spans="2:13" x14ac:dyDescent="0.25">
      <c r="B576" s="31">
        <v>436</v>
      </c>
      <c r="C576" s="32">
        <f t="shared" si="64"/>
        <v>8.7199999999999029</v>
      </c>
      <c r="D576" s="35">
        <f t="shared" si="65"/>
        <v>80</v>
      </c>
      <c r="E576" s="32">
        <f t="shared" si="63"/>
        <v>79.991508914207202</v>
      </c>
      <c r="F576" s="32">
        <f t="shared" si="63"/>
        <v>79.983306982157274</v>
      </c>
      <c r="G576" s="32">
        <f t="shared" si="63"/>
        <v>79.97567351080869</v>
      </c>
      <c r="H576" s="32">
        <f t="shared" si="63"/>
        <v>79.968868448873408</v>
      </c>
      <c r="I576" s="32">
        <f t="shared" si="63"/>
        <v>79.963123534573214</v>
      </c>
      <c r="J576" s="32">
        <f t="shared" si="63"/>
        <v>79.958634404075028</v>
      </c>
      <c r="K576" s="32">
        <f t="shared" si="63"/>
        <v>79.95555392933322</v>
      </c>
      <c r="L576" s="32">
        <f t="shared" si="62"/>
        <v>79.953987012220963</v>
      </c>
      <c r="M576" s="32">
        <f t="shared" si="61"/>
        <v>79.953987012220963</v>
      </c>
    </row>
    <row r="577" spans="2:13" x14ac:dyDescent="0.25">
      <c r="B577" s="31">
        <v>437</v>
      </c>
      <c r="C577" s="32">
        <f t="shared" si="64"/>
        <v>8.7399999999999025</v>
      </c>
      <c r="D577" s="35">
        <f t="shared" si="65"/>
        <v>80</v>
      </c>
      <c r="E577" s="32">
        <f t="shared" si="63"/>
        <v>79.991653491078637</v>
      </c>
      <c r="F577" s="32">
        <f t="shared" si="63"/>
        <v>79.983591212507946</v>
      </c>
      <c r="G577" s="32">
        <f t="shared" si="63"/>
        <v>79.976087715515348</v>
      </c>
      <c r="H577" s="32">
        <f t="shared" si="63"/>
        <v>79.969398522690952</v>
      </c>
      <c r="I577" s="32">
        <f t="shared" si="63"/>
        <v>79.963751426474218</v>
      </c>
      <c r="J577" s="32">
        <f t="shared" si="63"/>
        <v>79.95933873195321</v>
      </c>
      <c r="K577" s="32">
        <f t="shared" si="63"/>
        <v>79.956310708147996</v>
      </c>
      <c r="L577" s="32">
        <f t="shared" si="62"/>
        <v>79.954770470777092</v>
      </c>
      <c r="M577" s="32">
        <f t="shared" si="61"/>
        <v>79.954770470777092</v>
      </c>
    </row>
    <row r="578" spans="2:13" x14ac:dyDescent="0.25">
      <c r="B578" s="31">
        <v>438</v>
      </c>
      <c r="C578" s="32">
        <f t="shared" si="64"/>
        <v>8.7599999999999021</v>
      </c>
      <c r="D578" s="35">
        <f t="shared" si="65"/>
        <v>80</v>
      </c>
      <c r="E578" s="32">
        <f t="shared" si="59"/>
        <v>79.991795606253973</v>
      </c>
      <c r="F578" s="32">
        <f t="shared" si="59"/>
        <v>79.983870603296992</v>
      </c>
      <c r="G578" s="32">
        <f t="shared" si="59"/>
        <v>79.976494867599456</v>
      </c>
      <c r="H578" s="32">
        <f t="shared" si="59"/>
        <v>79.96991957099479</v>
      </c>
      <c r="I578" s="32">
        <f t="shared" si="59"/>
        <v>79.964368627322074</v>
      </c>
      <c r="J578" s="32">
        <f t="shared" si="59"/>
        <v>79.960031067311107</v>
      </c>
      <c r="K578" s="32">
        <f t="shared" si="59"/>
        <v>79.957054601365144</v>
      </c>
      <c r="L578" s="32">
        <f t="shared" si="62"/>
        <v>79.955540589462544</v>
      </c>
      <c r="M578" s="32">
        <f t="shared" si="61"/>
        <v>79.955540589462544</v>
      </c>
    </row>
    <row r="579" spans="2:13" x14ac:dyDescent="0.25">
      <c r="B579" s="31">
        <v>439</v>
      </c>
      <c r="C579" s="32">
        <f t="shared" si="64"/>
        <v>8.7799999999999017</v>
      </c>
      <c r="D579" s="35">
        <f t="shared" si="65"/>
        <v>80</v>
      </c>
      <c r="E579" s="32">
        <f t="shared" si="59"/>
        <v>79.991935301648496</v>
      </c>
      <c r="F579" s="32">
        <f t="shared" si="59"/>
        <v>79.984145236926707</v>
      </c>
      <c r="G579" s="32">
        <f t="shared" si="59"/>
        <v>79.976895087145891</v>
      </c>
      <c r="H579" s="32">
        <f t="shared" si="59"/>
        <v>79.970431747460765</v>
      </c>
      <c r="I579" s="32">
        <f t="shared" si="59"/>
        <v>79.964975319152956</v>
      </c>
      <c r="J579" s="32">
        <f t="shared" si="59"/>
        <v>79.960711614343609</v>
      </c>
      <c r="K579" s="32">
        <f t="shared" si="59"/>
        <v>79.957785828386818</v>
      </c>
      <c r="L579" s="32">
        <f t="shared" si="62"/>
        <v>79.956297595413844</v>
      </c>
      <c r="M579" s="32">
        <f t="shared" si="61"/>
        <v>79.956297595413844</v>
      </c>
    </row>
    <row r="580" spans="2:13" x14ac:dyDescent="0.25">
      <c r="B580" s="31">
        <v>440</v>
      </c>
      <c r="C580" s="32">
        <f t="shared" ref="C580:C643" si="66">C579+$E$138</f>
        <v>8.7999999999999012</v>
      </c>
      <c r="D580" s="35">
        <f t="shared" ref="D580:D643" si="67">D579</f>
        <v>80</v>
      </c>
      <c r="E580" s="32">
        <f t="shared" si="59"/>
        <v>79.992072618463354</v>
      </c>
      <c r="F580" s="32">
        <f t="shared" si="59"/>
        <v>79.984415194397201</v>
      </c>
      <c r="G580" s="32">
        <f t="shared" si="59"/>
        <v>79.977288492193736</v>
      </c>
      <c r="H580" s="32">
        <f t="shared" si="59"/>
        <v>79.970935203149423</v>
      </c>
      <c r="I580" s="32">
        <f t="shared" si="59"/>
        <v>79.965571680902187</v>
      </c>
      <c r="J580" s="32">
        <f t="shared" si="59"/>
        <v>79.961380573769887</v>
      </c>
      <c r="K580" s="32">
        <f t="shared" si="59"/>
        <v>79.958504604878726</v>
      </c>
      <c r="L580" s="32">
        <f t="shared" si="62"/>
        <v>79.957041711900331</v>
      </c>
      <c r="M580" s="32">
        <f t="shared" si="61"/>
        <v>79.957041711900331</v>
      </c>
    </row>
    <row r="581" spans="2:13" x14ac:dyDescent="0.25">
      <c r="B581" s="31">
        <v>441</v>
      </c>
      <c r="C581" s="32">
        <f t="shared" si="66"/>
        <v>8.8199999999999008</v>
      </c>
      <c r="D581" s="35">
        <f t="shared" si="67"/>
        <v>80</v>
      </c>
      <c r="E581" s="32">
        <f t="shared" ref="E581:L613" si="68">(D580+F580)/2</f>
        <v>79.9922075971986</v>
      </c>
      <c r="F581" s="32">
        <f t="shared" si="68"/>
        <v>79.984680555328538</v>
      </c>
      <c r="G581" s="32">
        <f t="shared" si="68"/>
        <v>79.977675198773312</v>
      </c>
      <c r="H581" s="32">
        <f t="shared" si="68"/>
        <v>79.971430086547969</v>
      </c>
      <c r="I581" s="32">
        <f t="shared" si="68"/>
        <v>79.966157888459662</v>
      </c>
      <c r="J581" s="32">
        <f t="shared" si="68"/>
        <v>79.962038142890464</v>
      </c>
      <c r="K581" s="32">
        <f t="shared" si="68"/>
        <v>79.959211142835102</v>
      </c>
      <c r="L581" s="32">
        <f t="shared" si="62"/>
        <v>79.957773158389529</v>
      </c>
      <c r="M581" s="32">
        <f t="shared" si="61"/>
        <v>79.957773158389529</v>
      </c>
    </row>
    <row r="582" spans="2:13" x14ac:dyDescent="0.25">
      <c r="B582" s="31">
        <v>442</v>
      </c>
      <c r="C582" s="32">
        <f t="shared" si="66"/>
        <v>8.8399999999999004</v>
      </c>
      <c r="D582" s="35">
        <f t="shared" si="67"/>
        <v>80</v>
      </c>
      <c r="E582" s="32">
        <f t="shared" si="68"/>
        <v>79.992340277664269</v>
      </c>
      <c r="F582" s="32">
        <f t="shared" si="68"/>
        <v>79.984941397985949</v>
      </c>
      <c r="G582" s="32">
        <f t="shared" si="68"/>
        <v>79.978055320938253</v>
      </c>
      <c r="H582" s="32">
        <f t="shared" si="68"/>
        <v>79.971916543616487</v>
      </c>
      <c r="I582" s="32">
        <f t="shared" si="68"/>
        <v>79.966734114719216</v>
      </c>
      <c r="J582" s="32">
        <f t="shared" si="68"/>
        <v>79.962684515647382</v>
      </c>
      <c r="K582" s="32">
        <f t="shared" si="68"/>
        <v>79.959905650639996</v>
      </c>
      <c r="L582" s="32">
        <f t="shared" si="62"/>
        <v>79.958492150612315</v>
      </c>
      <c r="M582" s="32">
        <f t="shared" si="61"/>
        <v>79.958492150612315</v>
      </c>
    </row>
    <row r="583" spans="2:13" x14ac:dyDescent="0.25">
      <c r="B583" s="31">
        <v>443</v>
      </c>
      <c r="C583" s="32">
        <f t="shared" si="66"/>
        <v>8.8599999999999</v>
      </c>
      <c r="D583" s="35">
        <f t="shared" si="67"/>
        <v>80</v>
      </c>
      <c r="E583" s="32">
        <f t="shared" si="68"/>
        <v>79.992470698992975</v>
      </c>
      <c r="F583" s="32">
        <f t="shared" si="68"/>
        <v>79.985197799301261</v>
      </c>
      <c r="G583" s="32">
        <f t="shared" si="68"/>
        <v>79.978428970801218</v>
      </c>
      <c r="H583" s="32">
        <f t="shared" si="68"/>
        <v>79.972394717828735</v>
      </c>
      <c r="I583" s="32">
        <f t="shared" si="68"/>
        <v>79.967300529631927</v>
      </c>
      <c r="J583" s="32">
        <f t="shared" si="68"/>
        <v>79.963319882679599</v>
      </c>
      <c r="K583" s="32">
        <f t="shared" si="68"/>
        <v>79.960588333129849</v>
      </c>
      <c r="L583" s="32">
        <f t="shared" si="62"/>
        <v>79.959198900626149</v>
      </c>
      <c r="M583" s="32">
        <f t="shared" si="61"/>
        <v>79.959198900626149</v>
      </c>
    </row>
    <row r="584" spans="2:13" x14ac:dyDescent="0.25">
      <c r="B584" s="31">
        <v>444</v>
      </c>
      <c r="C584" s="32">
        <f t="shared" si="66"/>
        <v>8.8799999999998995</v>
      </c>
      <c r="D584" s="35">
        <f t="shared" si="67"/>
        <v>80</v>
      </c>
      <c r="E584" s="32">
        <f t="shared" si="68"/>
        <v>79.992598899650631</v>
      </c>
      <c r="F584" s="32">
        <f t="shared" si="68"/>
        <v>79.985449834897096</v>
      </c>
      <c r="G584" s="32">
        <f t="shared" si="68"/>
        <v>79.978796258564998</v>
      </c>
      <c r="H584" s="32">
        <f t="shared" si="68"/>
        <v>79.972864750216573</v>
      </c>
      <c r="I584" s="32">
        <f t="shared" si="68"/>
        <v>79.967857300254167</v>
      </c>
      <c r="J584" s="32">
        <f t="shared" si="68"/>
        <v>79.963944431380895</v>
      </c>
      <c r="K584" s="32">
        <f t="shared" si="68"/>
        <v>79.961259391652874</v>
      </c>
      <c r="L584" s="32">
        <f t="shared" si="62"/>
        <v>79.959893616877991</v>
      </c>
      <c r="M584" s="32">
        <f t="shared" si="61"/>
        <v>79.959893616877991</v>
      </c>
    </row>
    <row r="585" spans="2:13" x14ac:dyDescent="0.25">
      <c r="B585" s="31">
        <v>445</v>
      </c>
      <c r="C585" s="32">
        <f t="shared" si="66"/>
        <v>8.8999999999998991</v>
      </c>
      <c r="D585" s="35">
        <f t="shared" si="67"/>
        <v>80</v>
      </c>
      <c r="E585" s="32">
        <f t="shared" si="68"/>
        <v>79.992724917448555</v>
      </c>
      <c r="F585" s="32">
        <f t="shared" si="68"/>
        <v>79.985697579107807</v>
      </c>
      <c r="G585" s="32">
        <f t="shared" si="68"/>
        <v>79.979157292556835</v>
      </c>
      <c r="H585" s="32">
        <f t="shared" si="68"/>
        <v>79.973326779409575</v>
      </c>
      <c r="I585" s="32">
        <f t="shared" si="68"/>
        <v>79.968404590798741</v>
      </c>
      <c r="J585" s="32">
        <f t="shared" si="68"/>
        <v>79.96455834595352</v>
      </c>
      <c r="K585" s="32">
        <f t="shared" si="68"/>
        <v>79.961919024129443</v>
      </c>
      <c r="L585" s="32">
        <f t="shared" si="62"/>
        <v>79.960576504265433</v>
      </c>
      <c r="M585" s="32">
        <f t="shared" si="61"/>
        <v>79.960576504265433</v>
      </c>
    </row>
    <row r="586" spans="2:13" x14ac:dyDescent="0.25">
      <c r="B586" s="31">
        <v>446</v>
      </c>
      <c r="C586" s="32">
        <f t="shared" si="66"/>
        <v>8.9199999999998987</v>
      </c>
      <c r="D586" s="35">
        <f t="shared" si="67"/>
        <v>80</v>
      </c>
      <c r="E586" s="32">
        <f t="shared" si="68"/>
        <v>79.992848789553904</v>
      </c>
      <c r="F586" s="32">
        <f t="shared" si="68"/>
        <v>79.985941105002695</v>
      </c>
      <c r="G586" s="32">
        <f t="shared" si="68"/>
        <v>79.979512179258691</v>
      </c>
      <c r="H586" s="32">
        <f t="shared" si="68"/>
        <v>79.973780941677788</v>
      </c>
      <c r="I586" s="32">
        <f t="shared" si="68"/>
        <v>79.968942562681548</v>
      </c>
      <c r="J586" s="32">
        <f t="shared" si="68"/>
        <v>79.965161807464085</v>
      </c>
      <c r="K586" s="32">
        <f t="shared" si="68"/>
        <v>79.962567425109484</v>
      </c>
      <c r="L586" s="32">
        <f t="shared" si="62"/>
        <v>79.961247764197438</v>
      </c>
      <c r="M586" s="32">
        <f t="shared" si="61"/>
        <v>79.961247764197438</v>
      </c>
    </row>
    <row r="587" spans="2:13" x14ac:dyDescent="0.25">
      <c r="B587" s="31">
        <v>447</v>
      </c>
      <c r="C587" s="32">
        <f t="shared" si="66"/>
        <v>8.9399999999998983</v>
      </c>
      <c r="D587" s="35">
        <f t="shared" si="67"/>
        <v>80</v>
      </c>
      <c r="E587" s="32">
        <f t="shared" si="68"/>
        <v>79.992970552501347</v>
      </c>
      <c r="F587" s="32">
        <f t="shared" si="68"/>
        <v>79.986180484406304</v>
      </c>
      <c r="G587" s="32">
        <f t="shared" si="68"/>
        <v>79.979861023340248</v>
      </c>
      <c r="H587" s="32">
        <f t="shared" si="68"/>
        <v>79.974227370970112</v>
      </c>
      <c r="I587" s="32">
        <f t="shared" si="68"/>
        <v>79.969471374570929</v>
      </c>
      <c r="J587" s="32">
        <f t="shared" si="68"/>
        <v>79.965754993895516</v>
      </c>
      <c r="K587" s="32">
        <f t="shared" si="68"/>
        <v>79.963204785830754</v>
      </c>
      <c r="L587" s="32">
        <f t="shared" si="62"/>
        <v>79.961907594653468</v>
      </c>
      <c r="M587" s="32">
        <f t="shared" si="61"/>
        <v>79.961907594653468</v>
      </c>
    </row>
    <row r="588" spans="2:13" x14ac:dyDescent="0.25">
      <c r="B588" s="31">
        <v>448</v>
      </c>
      <c r="C588" s="32">
        <f t="shared" si="66"/>
        <v>8.9599999999998978</v>
      </c>
      <c r="D588" s="35">
        <f t="shared" si="67"/>
        <v>80</v>
      </c>
      <c r="E588" s="32">
        <f t="shared" si="68"/>
        <v>79.993090242203152</v>
      </c>
      <c r="F588" s="32">
        <f t="shared" si="68"/>
        <v>79.986415787920805</v>
      </c>
      <c r="G588" s="32">
        <f t="shared" si="68"/>
        <v>79.980203927688208</v>
      </c>
      <c r="H588" s="32">
        <f t="shared" si="68"/>
        <v>79.974666198955589</v>
      </c>
      <c r="I588" s="32">
        <f t="shared" si="68"/>
        <v>79.969991182432807</v>
      </c>
      <c r="J588" s="32">
        <f t="shared" si="68"/>
        <v>79.966338080200842</v>
      </c>
      <c r="K588" s="32">
        <f t="shared" si="68"/>
        <v>79.963831294274485</v>
      </c>
      <c r="L588" s="32">
        <f t="shared" si="62"/>
        <v>79.962556190242111</v>
      </c>
      <c r="M588" s="32">
        <f t="shared" si="61"/>
        <v>79.962556190242111</v>
      </c>
    </row>
    <row r="589" spans="2:13" x14ac:dyDescent="0.25">
      <c r="B589" s="31">
        <v>449</v>
      </c>
      <c r="C589" s="32">
        <f t="shared" si="66"/>
        <v>8.9799999999998974</v>
      </c>
      <c r="D589" s="35">
        <f t="shared" si="67"/>
        <v>80</v>
      </c>
      <c r="E589" s="32">
        <f t="shared" si="68"/>
        <v>79.993207893960403</v>
      </c>
      <c r="F589" s="32">
        <f t="shared" si="68"/>
        <v>79.986647084945673</v>
      </c>
      <c r="G589" s="32">
        <f t="shared" si="68"/>
        <v>79.980540993438197</v>
      </c>
      <c r="H589" s="32">
        <f t="shared" si="68"/>
        <v>79.975097555060501</v>
      </c>
      <c r="I589" s="32">
        <f t="shared" si="68"/>
        <v>79.970502139578215</v>
      </c>
      <c r="J589" s="32">
        <f t="shared" si="68"/>
        <v>79.966911238353646</v>
      </c>
      <c r="K589" s="32">
        <f t="shared" si="68"/>
        <v>79.964447135221477</v>
      </c>
      <c r="L589" s="32">
        <f t="shared" si="62"/>
        <v>79.963193742258298</v>
      </c>
      <c r="M589" s="32">
        <f t="shared" ref="M589:M652" si="69">L589</f>
        <v>79.963193742258298</v>
      </c>
    </row>
    <row r="590" spans="2:13" x14ac:dyDescent="0.25">
      <c r="B590" s="31">
        <v>450</v>
      </c>
      <c r="C590" s="32">
        <f t="shared" si="66"/>
        <v>8.999999999999897</v>
      </c>
      <c r="D590" s="35">
        <f t="shared" si="67"/>
        <v>80</v>
      </c>
      <c r="E590" s="32">
        <f t="shared" si="68"/>
        <v>79.993323542472837</v>
      </c>
      <c r="F590" s="32">
        <f t="shared" si="68"/>
        <v>79.986874443699293</v>
      </c>
      <c r="G590" s="32">
        <f t="shared" si="68"/>
        <v>79.980872320003087</v>
      </c>
      <c r="H590" s="32">
        <f t="shared" si="68"/>
        <v>79.975521566508206</v>
      </c>
      <c r="I590" s="32">
        <f t="shared" si="68"/>
        <v>79.971004396707073</v>
      </c>
      <c r="J590" s="32">
        <f t="shared" si="68"/>
        <v>79.967474637399846</v>
      </c>
      <c r="K590" s="32">
        <f t="shared" si="68"/>
        <v>79.965052490305965</v>
      </c>
      <c r="L590" s="32">
        <f t="shared" si="68"/>
        <v>79.963820438739887</v>
      </c>
      <c r="M590" s="32">
        <f t="shared" si="69"/>
        <v>79.963820438739887</v>
      </c>
    </row>
    <row r="591" spans="2:13" x14ac:dyDescent="0.25">
      <c r="B591" s="31">
        <v>451</v>
      </c>
      <c r="C591" s="32">
        <f t="shared" si="66"/>
        <v>9.0199999999998965</v>
      </c>
      <c r="D591" s="35">
        <f t="shared" si="67"/>
        <v>80</v>
      </c>
      <c r="E591" s="32">
        <f t="shared" si="68"/>
        <v>79.993437221849646</v>
      </c>
      <c r="F591" s="32">
        <f t="shared" si="68"/>
        <v>79.987097931237969</v>
      </c>
      <c r="G591" s="32">
        <f t="shared" si="68"/>
        <v>79.981198005103749</v>
      </c>
      <c r="H591" s="32">
        <f t="shared" si="68"/>
        <v>79.97593835835508</v>
      </c>
      <c r="I591" s="32">
        <f t="shared" si="68"/>
        <v>79.971498101954026</v>
      </c>
      <c r="J591" s="32">
        <f t="shared" si="68"/>
        <v>79.968028443506512</v>
      </c>
      <c r="K591" s="32">
        <f t="shared" si="68"/>
        <v>79.965647538069874</v>
      </c>
      <c r="L591" s="32">
        <f t="shared" si="68"/>
        <v>79.964436464522919</v>
      </c>
      <c r="M591" s="32">
        <f t="shared" si="69"/>
        <v>79.964436464522919</v>
      </c>
    </row>
    <row r="592" spans="2:13" x14ac:dyDescent="0.25">
      <c r="B592" s="31">
        <v>452</v>
      </c>
      <c r="C592" s="32">
        <f t="shared" si="66"/>
        <v>9.0399999999998961</v>
      </c>
      <c r="D592" s="35">
        <f t="shared" si="67"/>
        <v>80</v>
      </c>
      <c r="E592" s="32">
        <f t="shared" si="68"/>
        <v>79.993548965618984</v>
      </c>
      <c r="F592" s="32">
        <f t="shared" si="68"/>
        <v>79.987317613476705</v>
      </c>
      <c r="G592" s="32">
        <f t="shared" si="68"/>
        <v>79.981518144796524</v>
      </c>
      <c r="H592" s="32">
        <f t="shared" si="68"/>
        <v>79.976348053528881</v>
      </c>
      <c r="I592" s="32">
        <f t="shared" si="68"/>
        <v>79.971983400930796</v>
      </c>
      <c r="J592" s="32">
        <f t="shared" si="68"/>
        <v>79.968572820011957</v>
      </c>
      <c r="K592" s="32">
        <f t="shared" si="68"/>
        <v>79.966232454014715</v>
      </c>
      <c r="L592" s="32">
        <f t="shared" si="68"/>
        <v>79.965042001296396</v>
      </c>
      <c r="M592" s="32">
        <f t="shared" si="69"/>
        <v>79.965042001296396</v>
      </c>
    </row>
    <row r="593" spans="2:13" x14ac:dyDescent="0.25">
      <c r="B593" s="31">
        <v>453</v>
      </c>
      <c r="C593" s="32">
        <f t="shared" si="66"/>
        <v>9.0599999999998957</v>
      </c>
      <c r="D593" s="35">
        <f t="shared" si="67"/>
        <v>80</v>
      </c>
      <c r="E593" s="32">
        <f t="shared" si="68"/>
        <v>79.993658806738352</v>
      </c>
      <c r="F593" s="32">
        <f t="shared" si="68"/>
        <v>79.987533555207762</v>
      </c>
      <c r="G593" s="32">
        <f t="shared" si="68"/>
        <v>79.981832833502793</v>
      </c>
      <c r="H593" s="32">
        <f t="shared" si="68"/>
        <v>79.976750772863653</v>
      </c>
      <c r="I593" s="32">
        <f t="shared" si="68"/>
        <v>79.972460436770419</v>
      </c>
      <c r="J593" s="32">
        <f t="shared" si="68"/>
        <v>79.969107927472749</v>
      </c>
      <c r="K593" s="32">
        <f t="shared" si="68"/>
        <v>79.966807410654184</v>
      </c>
      <c r="L593" s="32">
        <f t="shared" si="68"/>
        <v>79.965637227655549</v>
      </c>
      <c r="M593" s="32">
        <f t="shared" si="69"/>
        <v>79.965637227655549</v>
      </c>
    </row>
    <row r="594" spans="2:13" x14ac:dyDescent="0.25">
      <c r="B594" s="31">
        <v>454</v>
      </c>
      <c r="C594" s="32">
        <f t="shared" si="66"/>
        <v>9.0799999999998953</v>
      </c>
      <c r="D594" s="35">
        <f t="shared" si="67"/>
        <v>80</v>
      </c>
      <c r="E594" s="32">
        <f t="shared" si="68"/>
        <v>79.993766777603881</v>
      </c>
      <c r="F594" s="32">
        <f t="shared" si="68"/>
        <v>79.98774582012058</v>
      </c>
      <c r="G594" s="32">
        <f t="shared" si="68"/>
        <v>79.982142164035707</v>
      </c>
      <c r="H594" s="32">
        <f t="shared" si="68"/>
        <v>79.977146635136606</v>
      </c>
      <c r="I594" s="32">
        <f t="shared" si="68"/>
        <v>79.972929350168201</v>
      </c>
      <c r="J594" s="32">
        <f t="shared" si="68"/>
        <v>79.969633923712308</v>
      </c>
      <c r="K594" s="32">
        <f t="shared" si="68"/>
        <v>79.967372577564149</v>
      </c>
      <c r="L594" s="32">
        <f t="shared" si="68"/>
        <v>79.966222319154866</v>
      </c>
      <c r="M594" s="32">
        <f t="shared" si="69"/>
        <v>79.966222319154866</v>
      </c>
    </row>
    <row r="595" spans="2:13" x14ac:dyDescent="0.25">
      <c r="B595" s="31">
        <v>455</v>
      </c>
      <c r="C595" s="32">
        <f t="shared" si="66"/>
        <v>9.0999999999998948</v>
      </c>
      <c r="D595" s="35">
        <f t="shared" si="67"/>
        <v>80</v>
      </c>
      <c r="E595" s="32">
        <f t="shared" si="68"/>
        <v>79.99387291006029</v>
      </c>
      <c r="F595" s="32">
        <f t="shared" si="68"/>
        <v>79.987954470819801</v>
      </c>
      <c r="G595" s="32">
        <f t="shared" si="68"/>
        <v>79.9824462276286</v>
      </c>
      <c r="H595" s="32">
        <f t="shared" si="68"/>
        <v>79.977535757101947</v>
      </c>
      <c r="I595" s="32">
        <f t="shared" si="68"/>
        <v>79.97339027942445</v>
      </c>
      <c r="J595" s="32">
        <f t="shared" si="68"/>
        <v>79.970150963866175</v>
      </c>
      <c r="K595" s="32">
        <f t="shared" si="68"/>
        <v>79.967928121433587</v>
      </c>
      <c r="L595" s="32">
        <f t="shared" si="68"/>
        <v>79.9667974483595</v>
      </c>
      <c r="M595" s="32">
        <f t="shared" si="69"/>
        <v>79.9667974483595</v>
      </c>
    </row>
    <row r="596" spans="2:13" x14ac:dyDescent="0.25">
      <c r="B596" s="31">
        <v>456</v>
      </c>
      <c r="C596" s="32">
        <f t="shared" si="66"/>
        <v>9.1199999999998944</v>
      </c>
      <c r="D596" s="35">
        <f t="shared" si="67"/>
        <v>80</v>
      </c>
      <c r="E596" s="32">
        <f t="shared" si="68"/>
        <v>79.993977235409901</v>
      </c>
      <c r="F596" s="32">
        <f t="shared" si="68"/>
        <v>79.988159568844452</v>
      </c>
      <c r="G596" s="32">
        <f t="shared" si="68"/>
        <v>79.982745113960874</v>
      </c>
      <c r="H596" s="32">
        <f t="shared" si="68"/>
        <v>79.977918253526525</v>
      </c>
      <c r="I596" s="32">
        <f t="shared" si="68"/>
        <v>79.973843360484068</v>
      </c>
      <c r="J596" s="32">
        <f t="shared" si="68"/>
        <v>79.970659200429026</v>
      </c>
      <c r="K596" s="32">
        <f t="shared" si="68"/>
        <v>79.96847420611283</v>
      </c>
      <c r="L596" s="32">
        <f t="shared" si="68"/>
        <v>79.967362784896551</v>
      </c>
      <c r="M596" s="32">
        <f t="shared" si="69"/>
        <v>79.967362784896551</v>
      </c>
    </row>
    <row r="597" spans="2:13" x14ac:dyDescent="0.25">
      <c r="B597" s="31">
        <v>457</v>
      </c>
      <c r="C597" s="32">
        <f t="shared" si="66"/>
        <v>9.139999999999894</v>
      </c>
      <c r="D597" s="35">
        <f t="shared" si="67"/>
        <v>80</v>
      </c>
      <c r="E597" s="32">
        <f t="shared" si="68"/>
        <v>79.994079784422226</v>
      </c>
      <c r="F597" s="32">
        <f t="shared" si="68"/>
        <v>79.988361174685394</v>
      </c>
      <c r="G597" s="32">
        <f t="shared" si="68"/>
        <v>79.983038911185488</v>
      </c>
      <c r="H597" s="32">
        <f t="shared" si="68"/>
        <v>79.978294237222471</v>
      </c>
      <c r="I597" s="32">
        <f t="shared" si="68"/>
        <v>79.974288726977775</v>
      </c>
      <c r="J597" s="32">
        <f t="shared" si="68"/>
        <v>79.971158783298449</v>
      </c>
      <c r="K597" s="32">
        <f t="shared" si="68"/>
        <v>79.969010992662788</v>
      </c>
      <c r="L597" s="32">
        <f t="shared" si="68"/>
        <v>79.967918495504691</v>
      </c>
      <c r="M597" s="32">
        <f t="shared" si="69"/>
        <v>79.967918495504691</v>
      </c>
    </row>
    <row r="598" spans="2:13" x14ac:dyDescent="0.25">
      <c r="B598" s="31">
        <v>458</v>
      </c>
      <c r="C598" s="32">
        <f t="shared" si="66"/>
        <v>9.1599999999998936</v>
      </c>
      <c r="D598" s="35">
        <f t="shared" si="67"/>
        <v>80</v>
      </c>
      <c r="E598" s="32">
        <f t="shared" si="68"/>
        <v>79.994180587342697</v>
      </c>
      <c r="F598" s="32">
        <f t="shared" si="68"/>
        <v>79.988559347803857</v>
      </c>
      <c r="G598" s="32">
        <f t="shared" si="68"/>
        <v>79.98332770595394</v>
      </c>
      <c r="H598" s="32">
        <f t="shared" si="68"/>
        <v>79.978663819081632</v>
      </c>
      <c r="I598" s="32">
        <f t="shared" si="68"/>
        <v>79.974726510260467</v>
      </c>
      <c r="J598" s="32">
        <f t="shared" si="68"/>
        <v>79.971649859820275</v>
      </c>
      <c r="K598" s="32">
        <f t="shared" si="68"/>
        <v>79.969538639401577</v>
      </c>
      <c r="L598" s="32">
        <f t="shared" si="68"/>
        <v>79.968464744083747</v>
      </c>
      <c r="M598" s="32">
        <f t="shared" si="69"/>
        <v>79.968464744083747</v>
      </c>
    </row>
    <row r="599" spans="2:13" x14ac:dyDescent="0.25">
      <c r="B599" s="31">
        <v>459</v>
      </c>
      <c r="C599" s="32">
        <f t="shared" si="66"/>
        <v>9.1799999999998931</v>
      </c>
      <c r="D599" s="35">
        <f t="shared" si="67"/>
        <v>80</v>
      </c>
      <c r="E599" s="32">
        <f t="shared" si="68"/>
        <v>79.994279673901929</v>
      </c>
      <c r="F599" s="32">
        <f t="shared" si="68"/>
        <v>79.988754146648319</v>
      </c>
      <c r="G599" s="32">
        <f t="shared" si="68"/>
        <v>79.983611583442752</v>
      </c>
      <c r="H599" s="32">
        <f t="shared" si="68"/>
        <v>79.979027108107204</v>
      </c>
      <c r="I599" s="32">
        <f t="shared" si="68"/>
        <v>79.97515683945096</v>
      </c>
      <c r="J599" s="32">
        <f t="shared" si="68"/>
        <v>79.972132574831022</v>
      </c>
      <c r="K599" s="32">
        <f t="shared" si="68"/>
        <v>79.970057301952011</v>
      </c>
      <c r="L599" s="32">
        <f t="shared" si="68"/>
        <v>79.969001691742662</v>
      </c>
      <c r="M599" s="32">
        <f t="shared" si="69"/>
        <v>79.969001691742662</v>
      </c>
    </row>
    <row r="600" spans="2:13" x14ac:dyDescent="0.25">
      <c r="B600" s="31">
        <v>460</v>
      </c>
      <c r="C600" s="32">
        <f t="shared" si="66"/>
        <v>9.1999999999998927</v>
      </c>
      <c r="D600" s="35">
        <f t="shared" si="67"/>
        <v>80</v>
      </c>
      <c r="E600" s="32">
        <f t="shared" si="68"/>
        <v>79.994377073324159</v>
      </c>
      <c r="F600" s="32">
        <f t="shared" si="68"/>
        <v>79.98894562867234</v>
      </c>
      <c r="G600" s="32">
        <f t="shared" si="68"/>
        <v>79.983890627377761</v>
      </c>
      <c r="H600" s="32">
        <f t="shared" si="68"/>
        <v>79.979384211446856</v>
      </c>
      <c r="I600" s="32">
        <f t="shared" si="68"/>
        <v>79.975579841469113</v>
      </c>
      <c r="J600" s="32">
        <f t="shared" si="68"/>
        <v>79.972607070701486</v>
      </c>
      <c r="K600" s="32">
        <f t="shared" si="68"/>
        <v>79.970567133286835</v>
      </c>
      <c r="L600" s="32">
        <f t="shared" si="68"/>
        <v>79.969529496847343</v>
      </c>
      <c r="M600" s="32">
        <f t="shared" si="69"/>
        <v>79.969529496847343</v>
      </c>
    </row>
    <row r="601" spans="2:13" x14ac:dyDescent="0.25">
      <c r="B601" s="31">
        <v>461</v>
      </c>
      <c r="C601" s="32">
        <f t="shared" si="66"/>
        <v>9.2199999999998923</v>
      </c>
      <c r="D601" s="35">
        <f t="shared" si="67"/>
        <v>80</v>
      </c>
      <c r="E601" s="32">
        <f t="shared" si="68"/>
        <v>79.994472814336177</v>
      </c>
      <c r="F601" s="32">
        <f t="shared" si="68"/>
        <v>79.989133850350953</v>
      </c>
      <c r="G601" s="32">
        <f t="shared" si="68"/>
        <v>79.984164920059598</v>
      </c>
      <c r="H601" s="32">
        <f t="shared" si="68"/>
        <v>79.97973523442343</v>
      </c>
      <c r="I601" s="32">
        <f t="shared" si="68"/>
        <v>79.975995641074178</v>
      </c>
      <c r="J601" s="32">
        <f t="shared" si="68"/>
        <v>79.973073487377974</v>
      </c>
      <c r="K601" s="32">
        <f t="shared" si="68"/>
        <v>79.971068283774414</v>
      </c>
      <c r="L601" s="32">
        <f t="shared" si="68"/>
        <v>79.970048315067089</v>
      </c>
      <c r="M601" s="32">
        <f t="shared" si="69"/>
        <v>79.970048315067089</v>
      </c>
    </row>
    <row r="602" spans="2:13" x14ac:dyDescent="0.25">
      <c r="B602" s="31">
        <v>462</v>
      </c>
      <c r="C602" s="32">
        <f t="shared" si="66"/>
        <v>9.2399999999998919</v>
      </c>
      <c r="D602" s="35">
        <f t="shared" si="67"/>
        <v>80</v>
      </c>
      <c r="E602" s="32">
        <f t="shared" si="68"/>
        <v>79.994566925175477</v>
      </c>
      <c r="F602" s="32">
        <f t="shared" si="68"/>
        <v>79.989318867197881</v>
      </c>
      <c r="G602" s="32">
        <f t="shared" si="68"/>
        <v>79.984434542387191</v>
      </c>
      <c r="H602" s="32">
        <f t="shared" si="68"/>
        <v>79.980080280566881</v>
      </c>
      <c r="I602" s="32">
        <f t="shared" si="68"/>
        <v>79.976404360900702</v>
      </c>
      <c r="J602" s="32">
        <f t="shared" si="68"/>
        <v>79.973531962424289</v>
      </c>
      <c r="K602" s="32">
        <f t="shared" si="68"/>
        <v>79.971560901222531</v>
      </c>
      <c r="L602" s="32">
        <f t="shared" si="68"/>
        <v>79.970558299420759</v>
      </c>
      <c r="M602" s="32">
        <f t="shared" si="69"/>
        <v>79.970558299420759</v>
      </c>
    </row>
    <row r="603" spans="2:13" x14ac:dyDescent="0.25">
      <c r="B603" s="31">
        <v>463</v>
      </c>
      <c r="C603" s="32">
        <f t="shared" si="66"/>
        <v>9.2599999999998914</v>
      </c>
      <c r="D603" s="35">
        <f t="shared" si="67"/>
        <v>80</v>
      </c>
      <c r="E603" s="32">
        <f t="shared" si="68"/>
        <v>79.99465943359894</v>
      </c>
      <c r="F603" s="32">
        <f t="shared" si="68"/>
        <v>79.989500733781341</v>
      </c>
      <c r="G603" s="32">
        <f t="shared" si="68"/>
        <v>79.984699573882381</v>
      </c>
      <c r="H603" s="32">
        <f t="shared" si="68"/>
        <v>79.98041945164394</v>
      </c>
      <c r="I603" s="32">
        <f t="shared" si="68"/>
        <v>79.976806121495585</v>
      </c>
      <c r="J603" s="32">
        <f t="shared" si="68"/>
        <v>79.973982631061617</v>
      </c>
      <c r="K603" s="32">
        <f t="shared" si="68"/>
        <v>79.972045130922524</v>
      </c>
      <c r="L603" s="32">
        <f t="shared" si="68"/>
        <v>79.971059600321638</v>
      </c>
      <c r="M603" s="32">
        <f t="shared" si="69"/>
        <v>79.971059600321638</v>
      </c>
    </row>
    <row r="604" spans="2:13" x14ac:dyDescent="0.25">
      <c r="B604" s="31">
        <v>464</v>
      </c>
      <c r="C604" s="32">
        <f t="shared" si="66"/>
        <v>9.279999999999891</v>
      </c>
      <c r="D604" s="35">
        <f t="shared" si="67"/>
        <v>80</v>
      </c>
      <c r="E604" s="32">
        <f t="shared" si="68"/>
        <v>79.994750366890671</v>
      </c>
      <c r="F604" s="32">
        <f t="shared" si="68"/>
        <v>79.98967950374066</v>
      </c>
      <c r="G604" s="32">
        <f t="shared" si="68"/>
        <v>79.98496009271264</v>
      </c>
      <c r="H604" s="32">
        <f t="shared" si="68"/>
        <v>79.98075284768899</v>
      </c>
      <c r="I604" s="32">
        <f t="shared" si="68"/>
        <v>79.977201041352771</v>
      </c>
      <c r="J604" s="32">
        <f t="shared" si="68"/>
        <v>79.974425626209054</v>
      </c>
      <c r="K604" s="32">
        <f t="shared" si="68"/>
        <v>79.97252111569162</v>
      </c>
      <c r="L604" s="32">
        <f t="shared" si="68"/>
        <v>79.971552365622074</v>
      </c>
      <c r="M604" s="32">
        <f t="shared" si="69"/>
        <v>79.971552365622074</v>
      </c>
    </row>
    <row r="605" spans="2:13" x14ac:dyDescent="0.25">
      <c r="B605" s="31">
        <v>465</v>
      </c>
      <c r="C605" s="32">
        <f t="shared" si="66"/>
        <v>9.2999999999998906</v>
      </c>
      <c r="D605" s="35">
        <f t="shared" si="67"/>
        <v>80</v>
      </c>
      <c r="E605" s="32">
        <f t="shared" si="68"/>
        <v>79.99483975187033</v>
      </c>
      <c r="F605" s="32">
        <f t="shared" si="68"/>
        <v>79.989855229801663</v>
      </c>
      <c r="G605" s="32">
        <f t="shared" si="68"/>
        <v>79.985216175714825</v>
      </c>
      <c r="H605" s="32">
        <f t="shared" si="68"/>
        <v>79.981080567032706</v>
      </c>
      <c r="I605" s="32">
        <f t="shared" si="68"/>
        <v>79.977589236949029</v>
      </c>
      <c r="J605" s="32">
        <f t="shared" si="68"/>
        <v>79.974861078522196</v>
      </c>
      <c r="K605" s="32">
        <f t="shared" si="68"/>
        <v>79.972988995915557</v>
      </c>
      <c r="L605" s="32">
        <f t="shared" si="68"/>
        <v>79.972036740656847</v>
      </c>
      <c r="M605" s="32">
        <f t="shared" si="69"/>
        <v>79.972036740656847</v>
      </c>
    </row>
    <row r="606" spans="2:13" x14ac:dyDescent="0.25">
      <c r="B606" s="31">
        <v>466</v>
      </c>
      <c r="C606" s="32">
        <f t="shared" si="66"/>
        <v>9.3199999999998902</v>
      </c>
      <c r="D606" s="35">
        <f t="shared" si="67"/>
        <v>80</v>
      </c>
      <c r="E606" s="32">
        <f t="shared" si="68"/>
        <v>79.994927614900831</v>
      </c>
      <c r="F606" s="32">
        <f t="shared" si="68"/>
        <v>79.990027963792585</v>
      </c>
      <c r="G606" s="32">
        <f t="shared" si="68"/>
        <v>79.985467898417184</v>
      </c>
      <c r="H606" s="32">
        <f t="shared" si="68"/>
        <v>79.98140270633192</v>
      </c>
      <c r="I606" s="32">
        <f t="shared" si="68"/>
        <v>79.977970822777451</v>
      </c>
      <c r="J606" s="32">
        <f t="shared" si="68"/>
        <v>79.975289116432293</v>
      </c>
      <c r="K606" s="32">
        <f t="shared" si="68"/>
        <v>79.973448909589521</v>
      </c>
      <c r="L606" s="32">
        <f t="shared" si="68"/>
        <v>79.972512868286202</v>
      </c>
      <c r="M606" s="32">
        <f t="shared" si="69"/>
        <v>79.972512868286202</v>
      </c>
    </row>
    <row r="607" spans="2:13" x14ac:dyDescent="0.25">
      <c r="B607" s="31">
        <v>467</v>
      </c>
      <c r="C607" s="32">
        <f t="shared" si="66"/>
        <v>9.3399999999998897</v>
      </c>
      <c r="D607" s="35">
        <f t="shared" si="67"/>
        <v>80</v>
      </c>
      <c r="E607" s="32">
        <f t="shared" si="68"/>
        <v>79.995013981896292</v>
      </c>
      <c r="F607" s="32">
        <f t="shared" si="68"/>
        <v>79.990197756659001</v>
      </c>
      <c r="G607" s="32">
        <f t="shared" si="68"/>
        <v>79.985715335062253</v>
      </c>
      <c r="H607" s="32">
        <f t="shared" si="68"/>
        <v>79.98171936059731</v>
      </c>
      <c r="I607" s="32">
        <f t="shared" si="68"/>
        <v>79.978345911382107</v>
      </c>
      <c r="J607" s="32">
        <f t="shared" si="68"/>
        <v>79.975709866183479</v>
      </c>
      <c r="K607" s="32">
        <f t="shared" si="68"/>
        <v>79.973900992359248</v>
      </c>
      <c r="L607" s="32">
        <f t="shared" si="68"/>
        <v>79.972980888937855</v>
      </c>
      <c r="M607" s="32">
        <f t="shared" si="69"/>
        <v>79.972980888937855</v>
      </c>
    </row>
    <row r="608" spans="2:13" x14ac:dyDescent="0.25">
      <c r="B608" s="31">
        <v>468</v>
      </c>
      <c r="C608" s="32">
        <f t="shared" si="66"/>
        <v>9.3599999999998893</v>
      </c>
      <c r="D608" s="35">
        <f t="shared" si="67"/>
        <v>80</v>
      </c>
      <c r="E608" s="32">
        <f t="shared" si="68"/>
        <v>79.9950988783295</v>
      </c>
      <c r="F608" s="32">
        <f t="shared" si="68"/>
        <v>79.99036465847928</v>
      </c>
      <c r="G608" s="32">
        <f t="shared" si="68"/>
        <v>79.985958558628155</v>
      </c>
      <c r="H608" s="32">
        <f t="shared" si="68"/>
        <v>79.982030623222187</v>
      </c>
      <c r="I608" s="32">
        <f t="shared" si="68"/>
        <v>79.978714613390395</v>
      </c>
      <c r="J608" s="32">
        <f t="shared" si="68"/>
        <v>79.976123451870677</v>
      </c>
      <c r="K608" s="32">
        <f t="shared" si="68"/>
        <v>79.974345377560667</v>
      </c>
      <c r="L608" s="32">
        <f t="shared" si="68"/>
        <v>79.973440940648544</v>
      </c>
      <c r="M608" s="32">
        <f t="shared" si="69"/>
        <v>79.973440940648544</v>
      </c>
    </row>
    <row r="609" spans="2:13" x14ac:dyDescent="0.25">
      <c r="B609" s="31">
        <v>469</v>
      </c>
      <c r="C609" s="32">
        <f t="shared" si="66"/>
        <v>9.3799999999998889</v>
      </c>
      <c r="D609" s="35">
        <f t="shared" si="67"/>
        <v>80</v>
      </c>
      <c r="E609" s="32">
        <f t="shared" si="68"/>
        <v>79.99518232923964</v>
      </c>
      <c r="F609" s="32">
        <f t="shared" si="68"/>
        <v>79.990528718478828</v>
      </c>
      <c r="G609" s="32">
        <f t="shared" si="68"/>
        <v>79.986197640850733</v>
      </c>
      <c r="H609" s="32">
        <f t="shared" si="68"/>
        <v>79.982336586009268</v>
      </c>
      <c r="I609" s="32">
        <f t="shared" si="68"/>
        <v>79.979077037546432</v>
      </c>
      <c r="J609" s="32">
        <f t="shared" si="68"/>
        <v>79.976529995475531</v>
      </c>
      <c r="K609" s="32">
        <f t="shared" si="68"/>
        <v>79.974782196259611</v>
      </c>
      <c r="L609" s="32">
        <f t="shared" si="68"/>
        <v>79.973893159104605</v>
      </c>
      <c r="M609" s="32">
        <f t="shared" si="69"/>
        <v>79.973893159104605</v>
      </c>
    </row>
    <row r="610" spans="2:13" x14ac:dyDescent="0.25">
      <c r="B610" s="31">
        <v>470</v>
      </c>
      <c r="C610" s="32">
        <f t="shared" si="66"/>
        <v>9.3999999999998884</v>
      </c>
      <c r="D610" s="35">
        <f t="shared" si="67"/>
        <v>80</v>
      </c>
      <c r="E610" s="32">
        <f t="shared" si="68"/>
        <v>79.995264359239414</v>
      </c>
      <c r="F610" s="32">
        <f t="shared" si="68"/>
        <v>79.990689985045179</v>
      </c>
      <c r="G610" s="32">
        <f t="shared" si="68"/>
        <v>79.986432652244048</v>
      </c>
      <c r="H610" s="32">
        <f t="shared" si="68"/>
        <v>79.98263733919859</v>
      </c>
      <c r="I610" s="32">
        <f t="shared" si="68"/>
        <v>79.979433290742406</v>
      </c>
      <c r="J610" s="32">
        <f t="shared" si="68"/>
        <v>79.976929616903021</v>
      </c>
      <c r="K610" s="32">
        <f t="shared" si="68"/>
        <v>79.975211577290068</v>
      </c>
      <c r="L610" s="32">
        <f t="shared" si="68"/>
        <v>79.974337677682115</v>
      </c>
      <c r="M610" s="32">
        <f t="shared" si="69"/>
        <v>79.974337677682115</v>
      </c>
    </row>
    <row r="611" spans="2:13" x14ac:dyDescent="0.25">
      <c r="B611" s="31">
        <v>471</v>
      </c>
      <c r="C611" s="32">
        <f t="shared" si="66"/>
        <v>9.419999999999888</v>
      </c>
      <c r="D611" s="35">
        <f t="shared" si="67"/>
        <v>80</v>
      </c>
      <c r="E611" s="32">
        <f t="shared" si="68"/>
        <v>79.99534499252259</v>
      </c>
      <c r="F611" s="32">
        <f t="shared" si="68"/>
        <v>79.990848505741724</v>
      </c>
      <c r="G611" s="32">
        <f t="shared" si="68"/>
        <v>79.986663662121884</v>
      </c>
      <c r="H611" s="32">
        <f t="shared" si="68"/>
        <v>79.982932971493227</v>
      </c>
      <c r="I611" s="32">
        <f t="shared" si="68"/>
        <v>79.979783478050805</v>
      </c>
      <c r="J611" s="32">
        <f t="shared" si="68"/>
        <v>79.97732243401623</v>
      </c>
      <c r="K611" s="32">
        <f t="shared" si="68"/>
        <v>79.975633647292568</v>
      </c>
      <c r="L611" s="32">
        <f t="shared" si="68"/>
        <v>79.974774627486084</v>
      </c>
      <c r="M611" s="32">
        <f t="shared" si="69"/>
        <v>79.974774627486084</v>
      </c>
    </row>
    <row r="612" spans="2:13" x14ac:dyDescent="0.25">
      <c r="B612" s="31">
        <v>472</v>
      </c>
      <c r="C612" s="32">
        <f t="shared" si="66"/>
        <v>9.4399999999998876</v>
      </c>
      <c r="D612" s="35">
        <f t="shared" si="67"/>
        <v>80</v>
      </c>
      <c r="E612" s="32">
        <f t="shared" si="68"/>
        <v>79.995424252870862</v>
      </c>
      <c r="F612" s="32">
        <f t="shared" si="68"/>
        <v>79.99100432732223</v>
      </c>
      <c r="G612" s="32">
        <f t="shared" si="68"/>
        <v>79.986890738617475</v>
      </c>
      <c r="H612" s="32">
        <f t="shared" si="68"/>
        <v>79.983223570086352</v>
      </c>
      <c r="I612" s="32">
        <f t="shared" si="68"/>
        <v>79.980127702754729</v>
      </c>
      <c r="J612" s="32">
        <f t="shared" si="68"/>
        <v>79.977708562671694</v>
      </c>
      <c r="K612" s="32">
        <f t="shared" si="68"/>
        <v>79.976048530751157</v>
      </c>
      <c r="L612" s="32">
        <f t="shared" si="68"/>
        <v>79.975204137389326</v>
      </c>
      <c r="M612" s="32">
        <f t="shared" si="69"/>
        <v>79.975204137389326</v>
      </c>
    </row>
    <row r="613" spans="2:13" x14ac:dyDescent="0.25">
      <c r="B613" s="31">
        <v>473</v>
      </c>
      <c r="C613" s="32">
        <f t="shared" si="66"/>
        <v>9.4599999999998872</v>
      </c>
      <c r="D613" s="35">
        <f t="shared" si="67"/>
        <v>80</v>
      </c>
      <c r="E613" s="32">
        <f t="shared" si="68"/>
        <v>79.995502163661115</v>
      </c>
      <c r="F613" s="32">
        <f t="shared" si="68"/>
        <v>79.991157495744176</v>
      </c>
      <c r="G613" s="32">
        <f t="shared" si="68"/>
        <v>79.987113948704291</v>
      </c>
      <c r="H613" s="32">
        <f t="shared" si="68"/>
        <v>79.983509220686102</v>
      </c>
      <c r="I613" s="32">
        <f t="shared" si="68"/>
        <v>79.980466066379023</v>
      </c>
      <c r="J613" s="32">
        <f t="shared" si="68"/>
        <v>79.978088116752943</v>
      </c>
      <c r="K613" s="32">
        <f t="shared" si="68"/>
        <v>79.976456350030503</v>
      </c>
      <c r="L613" s="32">
        <f t="shared" si="68"/>
        <v>79.975626334070242</v>
      </c>
      <c r="M613" s="32">
        <f t="shared" si="69"/>
        <v>79.975626334070242</v>
      </c>
    </row>
    <row r="614" spans="2:13" x14ac:dyDescent="0.25">
      <c r="B614" s="31">
        <v>474</v>
      </c>
      <c r="C614" s="32">
        <f t="shared" si="66"/>
        <v>9.4799999999998867</v>
      </c>
      <c r="D614" s="35">
        <f t="shared" si="67"/>
        <v>80</v>
      </c>
      <c r="E614" s="32">
        <f t="shared" ref="E614:L645" si="70">(D613+F613)/2</f>
        <v>79.995578747872088</v>
      </c>
      <c r="F614" s="32">
        <f t="shared" si="70"/>
        <v>79.991308056182703</v>
      </c>
      <c r="G614" s="32">
        <f t="shared" si="70"/>
        <v>79.987333358215139</v>
      </c>
      <c r="H614" s="32">
        <f t="shared" si="70"/>
        <v>79.983790007541657</v>
      </c>
      <c r="I614" s="32">
        <f t="shared" si="70"/>
        <v>79.98079866871953</v>
      </c>
      <c r="J614" s="32">
        <f t="shared" si="70"/>
        <v>79.978461208204763</v>
      </c>
      <c r="K614" s="32">
        <f t="shared" si="70"/>
        <v>79.976857225411592</v>
      </c>
      <c r="L614" s="32">
        <f t="shared" si="70"/>
        <v>79.976041342050365</v>
      </c>
      <c r="M614" s="32">
        <f t="shared" si="69"/>
        <v>79.976041342050365</v>
      </c>
    </row>
    <row r="615" spans="2:13" x14ac:dyDescent="0.25">
      <c r="B615" s="31">
        <v>475</v>
      </c>
      <c r="C615" s="32">
        <f t="shared" si="66"/>
        <v>9.4999999999998863</v>
      </c>
      <c r="D615" s="35">
        <f t="shared" si="67"/>
        <v>80</v>
      </c>
      <c r="E615" s="32">
        <f t="shared" si="70"/>
        <v>79.995654028091352</v>
      </c>
      <c r="F615" s="32">
        <f t="shared" si="70"/>
        <v>79.991456053043606</v>
      </c>
      <c r="G615" s="32">
        <f t="shared" si="70"/>
        <v>79.987549031862187</v>
      </c>
      <c r="H615" s="32">
        <f t="shared" si="70"/>
        <v>79.984066013467327</v>
      </c>
      <c r="I615" s="32">
        <f t="shared" si="70"/>
        <v>79.98112560787321</v>
      </c>
      <c r="J615" s="32">
        <f t="shared" si="70"/>
        <v>79.978827947065554</v>
      </c>
      <c r="K615" s="32">
        <f t="shared" si="70"/>
        <v>79.977251275127571</v>
      </c>
      <c r="L615" s="32">
        <f t="shared" si="70"/>
        <v>79.976449283730972</v>
      </c>
      <c r="M615" s="32">
        <f t="shared" si="69"/>
        <v>79.976449283730972</v>
      </c>
    </row>
    <row r="616" spans="2:13" x14ac:dyDescent="0.25">
      <c r="B616" s="31">
        <v>476</v>
      </c>
      <c r="C616" s="32">
        <f t="shared" si="66"/>
        <v>9.5199999999998859</v>
      </c>
      <c r="D616" s="35">
        <f t="shared" si="67"/>
        <v>80</v>
      </c>
      <c r="E616" s="32">
        <f t="shared" si="70"/>
        <v>79.995728026521803</v>
      </c>
      <c r="F616" s="32">
        <f t="shared" si="70"/>
        <v>79.991601529976776</v>
      </c>
      <c r="G616" s="32">
        <f t="shared" si="70"/>
        <v>79.987761033255467</v>
      </c>
      <c r="H616" s="32">
        <f t="shared" si="70"/>
        <v>79.984337319867706</v>
      </c>
      <c r="I616" s="32">
        <f t="shared" si="70"/>
        <v>79.981446980266441</v>
      </c>
      <c r="J616" s="32">
        <f t="shared" si="70"/>
        <v>79.979188441500384</v>
      </c>
      <c r="K616" s="32">
        <f t="shared" si="70"/>
        <v>79.977638615398263</v>
      </c>
      <c r="L616" s="32">
        <f t="shared" si="70"/>
        <v>79.976850279429271</v>
      </c>
      <c r="M616" s="32">
        <f t="shared" si="69"/>
        <v>79.976850279429271</v>
      </c>
    </row>
    <row r="617" spans="2:13" x14ac:dyDescent="0.25">
      <c r="B617" s="31">
        <v>477</v>
      </c>
      <c r="C617" s="32">
        <f t="shared" si="66"/>
        <v>9.5399999999998855</v>
      </c>
      <c r="D617" s="35">
        <f t="shared" si="67"/>
        <v>80</v>
      </c>
      <c r="E617" s="32">
        <f t="shared" si="70"/>
        <v>79.995800764988388</v>
      </c>
      <c r="F617" s="32">
        <f t="shared" si="70"/>
        <v>79.991744529888635</v>
      </c>
      <c r="G617" s="32">
        <f t="shared" si="70"/>
        <v>79.987969424922241</v>
      </c>
      <c r="H617" s="32">
        <f t="shared" si="70"/>
        <v>79.984604006760947</v>
      </c>
      <c r="I617" s="32">
        <f t="shared" si="70"/>
        <v>79.981762880684045</v>
      </c>
      <c r="J617" s="32">
        <f t="shared" si="70"/>
        <v>79.979542797832352</v>
      </c>
      <c r="K617" s="32">
        <f t="shared" si="70"/>
        <v>79.978019360464828</v>
      </c>
      <c r="L617" s="32">
        <f t="shared" si="70"/>
        <v>79.977244447413767</v>
      </c>
      <c r="M617" s="32">
        <f t="shared" si="69"/>
        <v>79.977244447413767</v>
      </c>
    </row>
    <row r="618" spans="2:13" x14ac:dyDescent="0.25">
      <c r="B618" s="31">
        <v>478</v>
      </c>
      <c r="C618" s="32">
        <f t="shared" si="66"/>
        <v>9.559999999999885</v>
      </c>
      <c r="D618" s="35">
        <f t="shared" si="67"/>
        <v>80</v>
      </c>
      <c r="E618" s="32">
        <f t="shared" si="70"/>
        <v>79.995872264944325</v>
      </c>
      <c r="F618" s="32">
        <f t="shared" si="70"/>
        <v>79.991885094955308</v>
      </c>
      <c r="G618" s="32">
        <f t="shared" si="70"/>
        <v>79.988174268324798</v>
      </c>
      <c r="H618" s="32">
        <f t="shared" si="70"/>
        <v>79.984866152803136</v>
      </c>
      <c r="I618" s="32">
        <f t="shared" si="70"/>
        <v>79.982073402296649</v>
      </c>
      <c r="J618" s="32">
        <f t="shared" si="70"/>
        <v>79.979891120574436</v>
      </c>
      <c r="K618" s="32">
        <f t="shared" si="70"/>
        <v>79.978393622623059</v>
      </c>
      <c r="L618" s="32">
        <f t="shared" si="70"/>
        <v>79.977631903939297</v>
      </c>
      <c r="M618" s="32">
        <f t="shared" si="69"/>
        <v>79.977631903939297</v>
      </c>
    </row>
    <row r="619" spans="2:13" x14ac:dyDescent="0.25">
      <c r="B619" s="31">
        <v>479</v>
      </c>
      <c r="C619" s="32">
        <f t="shared" si="66"/>
        <v>9.5799999999998846</v>
      </c>
      <c r="D619" s="35">
        <f t="shared" si="67"/>
        <v>80</v>
      </c>
      <c r="E619" s="32">
        <f t="shared" si="70"/>
        <v>79.995942547477654</v>
      </c>
      <c r="F619" s="32">
        <f t="shared" si="70"/>
        <v>79.992023266634561</v>
      </c>
      <c r="G619" s="32">
        <f t="shared" si="70"/>
        <v>79.988375623879222</v>
      </c>
      <c r="H619" s="32">
        <f t="shared" si="70"/>
        <v>79.985123835310731</v>
      </c>
      <c r="I619" s="32">
        <f t="shared" si="70"/>
        <v>79.982378636688793</v>
      </c>
      <c r="J619" s="32">
        <f t="shared" si="70"/>
        <v>79.980233512459847</v>
      </c>
      <c r="K619" s="32">
        <f t="shared" si="70"/>
        <v>79.978761512256867</v>
      </c>
      <c r="L619" s="32">
        <f t="shared" si="70"/>
        <v>79.978012763281185</v>
      </c>
      <c r="M619" s="32">
        <f t="shared" si="69"/>
        <v>79.978012763281185</v>
      </c>
    </row>
    <row r="620" spans="2:13" x14ac:dyDescent="0.25">
      <c r="B620" s="31">
        <v>480</v>
      </c>
      <c r="C620" s="32">
        <f t="shared" si="66"/>
        <v>9.5999999999998842</v>
      </c>
      <c r="D620" s="35">
        <f t="shared" si="67"/>
        <v>80</v>
      </c>
      <c r="E620" s="32">
        <f t="shared" si="70"/>
        <v>79.996011633317281</v>
      </c>
      <c r="F620" s="32">
        <f t="shared" si="70"/>
        <v>79.992159085678438</v>
      </c>
      <c r="G620" s="32">
        <f t="shared" si="70"/>
        <v>79.988573550972646</v>
      </c>
      <c r="H620" s="32">
        <f t="shared" si="70"/>
        <v>79.985377130284007</v>
      </c>
      <c r="I620" s="32">
        <f t="shared" si="70"/>
        <v>79.982678673885289</v>
      </c>
      <c r="J620" s="32">
        <f t="shared" si="70"/>
        <v>79.980570074472837</v>
      </c>
      <c r="K620" s="32">
        <f t="shared" si="70"/>
        <v>79.979123137870516</v>
      </c>
      <c r="L620" s="32">
        <f t="shared" si="70"/>
        <v>79.978387137769033</v>
      </c>
      <c r="M620" s="32">
        <f t="shared" si="69"/>
        <v>79.978387137769033</v>
      </c>
    </row>
    <row r="621" spans="2:13" x14ac:dyDescent="0.25">
      <c r="B621" s="31">
        <v>481</v>
      </c>
      <c r="C621" s="32">
        <f t="shared" si="66"/>
        <v>9.6199999999998838</v>
      </c>
      <c r="D621" s="35">
        <f t="shared" si="67"/>
        <v>80</v>
      </c>
      <c r="E621" s="32">
        <f t="shared" si="70"/>
        <v>79.996079542839226</v>
      </c>
      <c r="F621" s="32">
        <f t="shared" si="70"/>
        <v>79.992292592144963</v>
      </c>
      <c r="G621" s="32">
        <f t="shared" si="70"/>
        <v>79.98876810798123</v>
      </c>
      <c r="H621" s="32">
        <f t="shared" si="70"/>
        <v>79.985626112428974</v>
      </c>
      <c r="I621" s="32">
        <f t="shared" si="70"/>
        <v>79.982973602378422</v>
      </c>
      <c r="J621" s="32">
        <f t="shared" si="70"/>
        <v>79.980900905877903</v>
      </c>
      <c r="K621" s="32">
        <f t="shared" si="70"/>
        <v>79.979478606120935</v>
      </c>
      <c r="L621" s="32">
        <f t="shared" si="70"/>
        <v>79.978755137819775</v>
      </c>
      <c r="M621" s="32">
        <f t="shared" si="69"/>
        <v>79.978755137819775</v>
      </c>
    </row>
    <row r="622" spans="2:13" x14ac:dyDescent="0.25">
      <c r="B622" s="31">
        <v>482</v>
      </c>
      <c r="C622" s="32">
        <f t="shared" si="66"/>
        <v>9.6399999999998833</v>
      </c>
      <c r="D622" s="35">
        <f t="shared" si="67"/>
        <v>80</v>
      </c>
      <c r="E622" s="32">
        <f t="shared" si="70"/>
        <v>79.996146296072482</v>
      </c>
      <c r="F622" s="32">
        <f t="shared" si="70"/>
        <v>79.992423825410228</v>
      </c>
      <c r="G622" s="32">
        <f t="shared" si="70"/>
        <v>79.988959352286969</v>
      </c>
      <c r="H622" s="32">
        <f t="shared" si="70"/>
        <v>79.985870855179826</v>
      </c>
      <c r="I622" s="32">
        <f t="shared" si="70"/>
        <v>79.983263509153431</v>
      </c>
      <c r="J622" s="32">
        <f t="shared" si="70"/>
        <v>79.981226104249686</v>
      </c>
      <c r="K622" s="32">
        <f t="shared" si="70"/>
        <v>79.979828021848846</v>
      </c>
      <c r="L622" s="32">
        <f t="shared" si="70"/>
        <v>79.979116871970348</v>
      </c>
      <c r="M622" s="32">
        <f t="shared" si="69"/>
        <v>79.979116871970348</v>
      </c>
    </row>
    <row r="623" spans="2:13" x14ac:dyDescent="0.25">
      <c r="B623" s="31">
        <v>483</v>
      </c>
      <c r="C623" s="32">
        <f t="shared" si="66"/>
        <v>9.6599999999998829</v>
      </c>
      <c r="D623" s="35">
        <f t="shared" si="67"/>
        <v>80</v>
      </c>
      <c r="E623" s="32">
        <f t="shared" si="70"/>
        <v>79.996211912705121</v>
      </c>
      <c r="F623" s="32">
        <f t="shared" si="70"/>
        <v>79.992552824179725</v>
      </c>
      <c r="G623" s="32">
        <f t="shared" si="70"/>
        <v>79.989147340295034</v>
      </c>
      <c r="H623" s="32">
        <f t="shared" si="70"/>
        <v>79.9861114307202</v>
      </c>
      <c r="I623" s="32">
        <f t="shared" si="70"/>
        <v>79.983548479714756</v>
      </c>
      <c r="J623" s="32">
        <f t="shared" si="70"/>
        <v>79.981545765501139</v>
      </c>
      <c r="K623" s="32">
        <f t="shared" si="70"/>
        <v>79.980171488110017</v>
      </c>
      <c r="L623" s="32">
        <f t="shared" si="70"/>
        <v>79.979472446909597</v>
      </c>
      <c r="M623" s="32">
        <f t="shared" si="69"/>
        <v>79.979472446909597</v>
      </c>
    </row>
    <row r="624" spans="2:13" x14ac:dyDescent="0.25">
      <c r="B624" s="31">
        <v>484</v>
      </c>
      <c r="C624" s="32">
        <f t="shared" si="66"/>
        <v>9.6799999999998825</v>
      </c>
      <c r="D624" s="35">
        <f t="shared" si="67"/>
        <v>80</v>
      </c>
      <c r="E624" s="32">
        <f t="shared" si="70"/>
        <v>79.996276412089856</v>
      </c>
      <c r="F624" s="32">
        <f t="shared" si="70"/>
        <v>79.992679626500077</v>
      </c>
      <c r="G624" s="32">
        <f t="shared" si="70"/>
        <v>79.989332127449956</v>
      </c>
      <c r="H624" s="32">
        <f t="shared" si="70"/>
        <v>79.986347910004895</v>
      </c>
      <c r="I624" s="32">
        <f t="shared" si="70"/>
        <v>79.983828598110676</v>
      </c>
      <c r="J624" s="32">
        <f t="shared" si="70"/>
        <v>79.981859983912386</v>
      </c>
      <c r="K624" s="32">
        <f t="shared" si="70"/>
        <v>79.980509106205375</v>
      </c>
      <c r="L624" s="32">
        <f t="shared" si="70"/>
        <v>79.979821967509807</v>
      </c>
      <c r="M624" s="32">
        <f t="shared" si="69"/>
        <v>79.979821967509807</v>
      </c>
    </row>
    <row r="625" spans="2:13" x14ac:dyDescent="0.25">
      <c r="B625" s="31">
        <v>485</v>
      </c>
      <c r="C625" s="32">
        <f t="shared" si="66"/>
        <v>9.699999999999882</v>
      </c>
      <c r="D625" s="35">
        <f t="shared" si="67"/>
        <v>80</v>
      </c>
      <c r="E625" s="32">
        <f t="shared" si="70"/>
        <v>79.996339813250046</v>
      </c>
      <c r="F625" s="32">
        <f t="shared" si="70"/>
        <v>79.992804269769906</v>
      </c>
      <c r="G625" s="32">
        <f t="shared" si="70"/>
        <v>79.989513768252493</v>
      </c>
      <c r="H625" s="32">
        <f t="shared" si="70"/>
        <v>79.986580362780316</v>
      </c>
      <c r="I625" s="32">
        <f t="shared" si="70"/>
        <v>79.984103946958641</v>
      </c>
      <c r="J625" s="32">
        <f t="shared" si="70"/>
        <v>79.982168852158026</v>
      </c>
      <c r="K625" s="32">
        <f t="shared" si="70"/>
        <v>79.980840975711089</v>
      </c>
      <c r="L625" s="32">
        <f t="shared" si="70"/>
        <v>79.980165536857584</v>
      </c>
      <c r="M625" s="32">
        <f t="shared" si="69"/>
        <v>79.980165536857584</v>
      </c>
    </row>
    <row r="626" spans="2:13" x14ac:dyDescent="0.25">
      <c r="B626" s="31">
        <v>486</v>
      </c>
      <c r="C626" s="32">
        <f t="shared" si="66"/>
        <v>9.7199999999998816</v>
      </c>
      <c r="D626" s="35">
        <f t="shared" si="67"/>
        <v>80</v>
      </c>
      <c r="E626" s="32">
        <f t="shared" si="70"/>
        <v>79.99640213488496</v>
      </c>
      <c r="F626" s="32">
        <f t="shared" si="70"/>
        <v>79.99292679075127</v>
      </c>
      <c r="G626" s="32">
        <f t="shared" si="70"/>
        <v>79.989692316275111</v>
      </c>
      <c r="H626" s="32">
        <f t="shared" si="70"/>
        <v>79.986808857605567</v>
      </c>
      <c r="I626" s="32">
        <f t="shared" si="70"/>
        <v>79.984374607469164</v>
      </c>
      <c r="J626" s="32">
        <f t="shared" si="70"/>
        <v>79.982472461334865</v>
      </c>
      <c r="K626" s="32">
        <f t="shared" si="70"/>
        <v>79.981167194507805</v>
      </c>
      <c r="L626" s="32">
        <f t="shared" si="70"/>
        <v>79.980503256284337</v>
      </c>
      <c r="M626" s="32">
        <f t="shared" si="69"/>
        <v>79.980503256284337</v>
      </c>
    </row>
    <row r="627" spans="2:13" x14ac:dyDescent="0.25">
      <c r="B627" s="31">
        <v>487</v>
      </c>
      <c r="C627" s="32">
        <f t="shared" si="66"/>
        <v>9.7399999999998812</v>
      </c>
      <c r="D627" s="35">
        <f t="shared" si="67"/>
        <v>80</v>
      </c>
      <c r="E627" s="32">
        <f t="shared" si="70"/>
        <v>79.996463395375628</v>
      </c>
      <c r="F627" s="32">
        <f t="shared" si="70"/>
        <v>79.993047225580028</v>
      </c>
      <c r="G627" s="32">
        <f t="shared" si="70"/>
        <v>79.989867824178418</v>
      </c>
      <c r="H627" s="32">
        <f t="shared" si="70"/>
        <v>79.98703346187213</v>
      </c>
      <c r="I627" s="32">
        <f t="shared" si="70"/>
        <v>79.984640659470216</v>
      </c>
      <c r="J627" s="32">
        <f t="shared" si="70"/>
        <v>79.982770900988484</v>
      </c>
      <c r="K627" s="32">
        <f t="shared" si="70"/>
        <v>79.981487858809601</v>
      </c>
      <c r="L627" s="32">
        <f t="shared" si="70"/>
        <v>79.980835225396078</v>
      </c>
      <c r="M627" s="32">
        <f t="shared" si="69"/>
        <v>79.980835225396078</v>
      </c>
    </row>
    <row r="628" spans="2:13" x14ac:dyDescent="0.25">
      <c r="B628" s="31">
        <v>488</v>
      </c>
      <c r="C628" s="32">
        <f t="shared" si="66"/>
        <v>9.7599999999998808</v>
      </c>
      <c r="D628" s="35">
        <f t="shared" si="67"/>
        <v>80</v>
      </c>
      <c r="E628" s="32">
        <f t="shared" si="70"/>
        <v>79.996523612790014</v>
      </c>
      <c r="F628" s="32">
        <f t="shared" si="70"/>
        <v>79.993165609777023</v>
      </c>
      <c r="G628" s="32">
        <f t="shared" si="70"/>
        <v>79.990040343726079</v>
      </c>
      <c r="H628" s="32">
        <f t="shared" si="70"/>
        <v>79.987254241824317</v>
      </c>
      <c r="I628" s="32">
        <f t="shared" si="70"/>
        <v>79.9849021814303</v>
      </c>
      <c r="J628" s="32">
        <f t="shared" si="70"/>
        <v>79.983064259139908</v>
      </c>
      <c r="K628" s="32">
        <f t="shared" si="70"/>
        <v>79.981803063192274</v>
      </c>
      <c r="L628" s="32">
        <f t="shared" si="70"/>
        <v>79.981161542102839</v>
      </c>
      <c r="M628" s="32">
        <f t="shared" si="69"/>
        <v>79.981161542102839</v>
      </c>
    </row>
    <row r="629" spans="2:13" x14ac:dyDescent="0.25">
      <c r="B629" s="31">
        <v>489</v>
      </c>
      <c r="C629" s="32">
        <f t="shared" si="66"/>
        <v>9.7799999999998803</v>
      </c>
      <c r="D629" s="35">
        <f t="shared" si="67"/>
        <v>80</v>
      </c>
      <c r="E629" s="32">
        <f t="shared" si="70"/>
        <v>79.996582804888504</v>
      </c>
      <c r="F629" s="32">
        <f t="shared" si="70"/>
        <v>79.99328197825804</v>
      </c>
      <c r="G629" s="32">
        <f t="shared" si="70"/>
        <v>79.99020992580067</v>
      </c>
      <c r="H629" s="32">
        <f t="shared" si="70"/>
        <v>79.987471262578197</v>
      </c>
      <c r="I629" s="32">
        <f t="shared" si="70"/>
        <v>79.985159250482113</v>
      </c>
      <c r="J629" s="32">
        <f t="shared" si="70"/>
        <v>79.983352622311287</v>
      </c>
      <c r="K629" s="32">
        <f t="shared" si="70"/>
        <v>79.982112900621374</v>
      </c>
      <c r="L629" s="32">
        <f t="shared" si="70"/>
        <v>79.981482302647549</v>
      </c>
      <c r="M629" s="32">
        <f t="shared" si="69"/>
        <v>79.981482302647549</v>
      </c>
    </row>
    <row r="630" spans="2:13" x14ac:dyDescent="0.25">
      <c r="B630" s="31">
        <v>490</v>
      </c>
      <c r="C630" s="32">
        <f t="shared" si="66"/>
        <v>9.7999999999998799</v>
      </c>
      <c r="D630" s="35">
        <f t="shared" si="67"/>
        <v>80</v>
      </c>
      <c r="E630" s="32">
        <f t="shared" si="70"/>
        <v>79.99664098912902</v>
      </c>
      <c r="F630" s="32">
        <f t="shared" si="70"/>
        <v>79.99339636534458</v>
      </c>
      <c r="G630" s="32">
        <f t="shared" si="70"/>
        <v>79.990376620418118</v>
      </c>
      <c r="H630" s="32">
        <f t="shared" si="70"/>
        <v>79.987684588141391</v>
      </c>
      <c r="I630" s="32">
        <f t="shared" si="70"/>
        <v>79.985411942444742</v>
      </c>
      <c r="J630" s="32">
        <f t="shared" si="70"/>
        <v>79.983636075551743</v>
      </c>
      <c r="K630" s="32">
        <f t="shared" si="70"/>
        <v>79.982417462479418</v>
      </c>
      <c r="L630" s="32">
        <f t="shared" si="70"/>
        <v>79.981797601634469</v>
      </c>
      <c r="M630" s="32">
        <f t="shared" si="69"/>
        <v>79.981797601634469</v>
      </c>
    </row>
    <row r="631" spans="2:13" x14ac:dyDescent="0.25">
      <c r="B631" s="31">
        <v>491</v>
      </c>
      <c r="C631" s="32">
        <f t="shared" si="66"/>
        <v>9.8199999999998795</v>
      </c>
      <c r="D631" s="35">
        <f t="shared" si="67"/>
        <v>80</v>
      </c>
      <c r="E631" s="32">
        <f t="shared" si="70"/>
        <v>79.99669818267229</v>
      </c>
      <c r="F631" s="32">
        <f t="shared" si="70"/>
        <v>79.993508804773569</v>
      </c>
      <c r="G631" s="32">
        <f t="shared" si="70"/>
        <v>79.990540476742979</v>
      </c>
      <c r="H631" s="32">
        <f t="shared" si="70"/>
        <v>79.987894281431437</v>
      </c>
      <c r="I631" s="32">
        <f t="shared" si="70"/>
        <v>79.98566033184656</v>
      </c>
      <c r="J631" s="32">
        <f t="shared" si="70"/>
        <v>79.983914702462073</v>
      </c>
      <c r="K631" s="32">
        <f t="shared" si="70"/>
        <v>79.982716838593106</v>
      </c>
      <c r="L631" s="32">
        <f t="shared" si="70"/>
        <v>79.982107532056943</v>
      </c>
      <c r="M631" s="32">
        <f t="shared" si="69"/>
        <v>79.982107532056943</v>
      </c>
    </row>
    <row r="632" spans="2:13" x14ac:dyDescent="0.25">
      <c r="B632" s="31">
        <v>492</v>
      </c>
      <c r="C632" s="32">
        <f t="shared" si="66"/>
        <v>9.8399999999998791</v>
      </c>
      <c r="D632" s="35">
        <f t="shared" si="67"/>
        <v>80</v>
      </c>
      <c r="E632" s="32">
        <f t="shared" si="70"/>
        <v>79.996754402386784</v>
      </c>
      <c r="F632" s="32">
        <f t="shared" si="70"/>
        <v>79.993619329707627</v>
      </c>
      <c r="G632" s="32">
        <f t="shared" si="70"/>
        <v>79.990701543102503</v>
      </c>
      <c r="H632" s="32">
        <f t="shared" si="70"/>
        <v>79.988100404294769</v>
      </c>
      <c r="I632" s="32">
        <f t="shared" si="70"/>
        <v>79.985904491946755</v>
      </c>
      <c r="J632" s="32">
        <f t="shared" si="70"/>
        <v>79.98418858521984</v>
      </c>
      <c r="K632" s="32">
        <f t="shared" si="70"/>
        <v>79.983011117259508</v>
      </c>
      <c r="L632" s="32">
        <f t="shared" si="70"/>
        <v>79.982412185325018</v>
      </c>
      <c r="M632" s="32">
        <f t="shared" si="69"/>
        <v>79.982412185325018</v>
      </c>
    </row>
    <row r="633" spans="2:13" x14ac:dyDescent="0.25">
      <c r="B633" s="31">
        <v>493</v>
      </c>
      <c r="C633" s="32">
        <f t="shared" si="66"/>
        <v>9.8599999999998786</v>
      </c>
      <c r="D633" s="35">
        <f t="shared" si="67"/>
        <v>80</v>
      </c>
      <c r="E633" s="32">
        <f t="shared" si="70"/>
        <v>79.996809664853814</v>
      </c>
      <c r="F633" s="32">
        <f t="shared" si="70"/>
        <v>79.993727972744637</v>
      </c>
      <c r="G633" s="32">
        <f t="shared" si="70"/>
        <v>79.990859867001205</v>
      </c>
      <c r="H633" s="32">
        <f t="shared" si="70"/>
        <v>79.988303017524629</v>
      </c>
      <c r="I633" s="32">
        <f t="shared" si="70"/>
        <v>79.986144494757298</v>
      </c>
      <c r="J633" s="32">
        <f t="shared" si="70"/>
        <v>79.984457804603124</v>
      </c>
      <c r="K633" s="32">
        <f t="shared" si="70"/>
        <v>79.983300385272429</v>
      </c>
      <c r="L633" s="32">
        <f t="shared" si="70"/>
        <v>79.982711651292263</v>
      </c>
      <c r="M633" s="32">
        <f t="shared" si="69"/>
        <v>79.982711651292263</v>
      </c>
    </row>
    <row r="634" spans="2:13" x14ac:dyDescent="0.25">
      <c r="B634" s="31">
        <v>494</v>
      </c>
      <c r="C634" s="32">
        <f t="shared" si="66"/>
        <v>9.8799999999998782</v>
      </c>
      <c r="D634" s="35">
        <f t="shared" si="67"/>
        <v>80</v>
      </c>
      <c r="E634" s="32">
        <f t="shared" si="70"/>
        <v>79.996863986372318</v>
      </c>
      <c r="F634" s="32">
        <f t="shared" si="70"/>
        <v>79.993834765927517</v>
      </c>
      <c r="G634" s="32">
        <f t="shared" si="70"/>
        <v>79.991015495134633</v>
      </c>
      <c r="H634" s="32">
        <f t="shared" si="70"/>
        <v>79.988502180879252</v>
      </c>
      <c r="I634" s="32">
        <f t="shared" si="70"/>
        <v>79.986380411063877</v>
      </c>
      <c r="J634" s="32">
        <f t="shared" si="70"/>
        <v>79.984722440014863</v>
      </c>
      <c r="K634" s="32">
        <f t="shared" si="70"/>
        <v>79.983584727947687</v>
      </c>
      <c r="L634" s="32">
        <f t="shared" si="70"/>
        <v>79.983006018282339</v>
      </c>
      <c r="M634" s="32">
        <f t="shared" si="69"/>
        <v>79.983006018282339</v>
      </c>
    </row>
    <row r="635" spans="2:13" x14ac:dyDescent="0.25">
      <c r="B635" s="31">
        <v>495</v>
      </c>
      <c r="C635" s="32">
        <f t="shared" si="66"/>
        <v>9.8999999999998778</v>
      </c>
      <c r="D635" s="35">
        <f t="shared" si="67"/>
        <v>80</v>
      </c>
      <c r="E635" s="32">
        <f t="shared" si="70"/>
        <v>79.996917382963758</v>
      </c>
      <c r="F635" s="32">
        <f t="shared" si="70"/>
        <v>79.993939740753476</v>
      </c>
      <c r="G635" s="32">
        <f t="shared" si="70"/>
        <v>79.991168473403377</v>
      </c>
      <c r="H635" s="32">
        <f t="shared" si="70"/>
        <v>79.988697953099262</v>
      </c>
      <c r="I635" s="32">
        <f t="shared" si="70"/>
        <v>79.986612310447057</v>
      </c>
      <c r="J635" s="32">
        <f t="shared" si="70"/>
        <v>79.984982569505775</v>
      </c>
      <c r="K635" s="32">
        <f t="shared" si="70"/>
        <v>79.983864229148594</v>
      </c>
      <c r="L635" s="32">
        <f t="shared" si="70"/>
        <v>79.983295373115013</v>
      </c>
      <c r="M635" s="32">
        <f t="shared" si="69"/>
        <v>79.983295373115013</v>
      </c>
    </row>
    <row r="636" spans="2:13" x14ac:dyDescent="0.25">
      <c r="B636" s="31">
        <v>496</v>
      </c>
      <c r="C636" s="32">
        <f t="shared" si="66"/>
        <v>9.9199999999998774</v>
      </c>
      <c r="D636" s="35">
        <f t="shared" si="67"/>
        <v>80</v>
      </c>
      <c r="E636" s="32">
        <f t="shared" si="70"/>
        <v>79.996969870376745</v>
      </c>
      <c r="F636" s="32">
        <f t="shared" si="70"/>
        <v>79.994042928183575</v>
      </c>
      <c r="G636" s="32">
        <f t="shared" si="70"/>
        <v>79.991318846926362</v>
      </c>
      <c r="H636" s="32">
        <f t="shared" si="70"/>
        <v>79.988890391925224</v>
      </c>
      <c r="I636" s="32">
        <f t="shared" si="70"/>
        <v>79.986840261302518</v>
      </c>
      <c r="J636" s="32">
        <f t="shared" si="70"/>
        <v>79.985238269797833</v>
      </c>
      <c r="K636" s="32">
        <f t="shared" si="70"/>
        <v>79.984138971310387</v>
      </c>
      <c r="L636" s="32">
        <f t="shared" si="70"/>
        <v>79.98357980113181</v>
      </c>
      <c r="M636" s="32">
        <f t="shared" si="69"/>
        <v>79.98357980113181</v>
      </c>
    </row>
    <row r="637" spans="2:13" x14ac:dyDescent="0.25">
      <c r="B637" s="31">
        <v>497</v>
      </c>
      <c r="C637" s="32">
        <f t="shared" si="66"/>
        <v>9.9399999999998769</v>
      </c>
      <c r="D637" s="35">
        <f t="shared" si="67"/>
        <v>80</v>
      </c>
      <c r="E637" s="32">
        <f t="shared" si="70"/>
        <v>79.997021464091787</v>
      </c>
      <c r="F637" s="32">
        <f t="shared" si="70"/>
        <v>79.994144358651553</v>
      </c>
      <c r="G637" s="32">
        <f t="shared" si="70"/>
        <v>79.9914666600544</v>
      </c>
      <c r="H637" s="32">
        <f t="shared" si="70"/>
        <v>79.98907955411444</v>
      </c>
      <c r="I637" s="32">
        <f t="shared" si="70"/>
        <v>79.987064330861529</v>
      </c>
      <c r="J637" s="32">
        <f t="shared" si="70"/>
        <v>79.985489616306452</v>
      </c>
      <c r="K637" s="32">
        <f t="shared" si="70"/>
        <v>79.984409035464822</v>
      </c>
      <c r="L637" s="32">
        <f t="shared" si="70"/>
        <v>79.983859386221098</v>
      </c>
      <c r="M637" s="32">
        <f t="shared" si="69"/>
        <v>79.983859386221098</v>
      </c>
    </row>
    <row r="638" spans="2:13" x14ac:dyDescent="0.25">
      <c r="B638" s="31">
        <v>498</v>
      </c>
      <c r="C638" s="32">
        <f t="shared" si="66"/>
        <v>9.9599999999998765</v>
      </c>
      <c r="D638" s="35">
        <f t="shared" si="67"/>
        <v>80</v>
      </c>
      <c r="E638" s="32">
        <f t="shared" si="70"/>
        <v>79.997072179325784</v>
      </c>
      <c r="F638" s="32">
        <f t="shared" si="70"/>
        <v>79.994244062073093</v>
      </c>
      <c r="G638" s="32">
        <f t="shared" si="70"/>
        <v>79.991611956382997</v>
      </c>
      <c r="H638" s="32">
        <f t="shared" si="70"/>
        <v>79.989265495457971</v>
      </c>
      <c r="I638" s="32">
        <f t="shared" si="70"/>
        <v>79.987284585210446</v>
      </c>
      <c r="J638" s="32">
        <f t="shared" si="70"/>
        <v>79.985736683163168</v>
      </c>
      <c r="K638" s="32">
        <f t="shared" si="70"/>
        <v>79.984674501263783</v>
      </c>
      <c r="L638" s="32">
        <f t="shared" si="70"/>
        <v>79.984134210842967</v>
      </c>
      <c r="M638" s="32">
        <f t="shared" si="69"/>
        <v>79.984134210842967</v>
      </c>
    </row>
    <row r="639" spans="2:13" x14ac:dyDescent="0.25">
      <c r="B639" s="31">
        <v>499</v>
      </c>
      <c r="C639" s="32">
        <f t="shared" si="66"/>
        <v>9.9799999999998761</v>
      </c>
      <c r="D639" s="35">
        <f t="shared" si="67"/>
        <v>80</v>
      </c>
      <c r="E639" s="32">
        <f t="shared" si="70"/>
        <v>79.997122031036554</v>
      </c>
      <c r="F639" s="32">
        <f t="shared" si="70"/>
        <v>79.99434206785439</v>
      </c>
      <c r="G639" s="32">
        <f t="shared" si="70"/>
        <v>79.991754778765539</v>
      </c>
      <c r="H639" s="32">
        <f t="shared" si="70"/>
        <v>79.989448270796714</v>
      </c>
      <c r="I639" s="32">
        <f t="shared" si="70"/>
        <v>79.98750108931057</v>
      </c>
      <c r="J639" s="32">
        <f t="shared" si="70"/>
        <v>79.985979543237107</v>
      </c>
      <c r="K639" s="32">
        <f t="shared" si="70"/>
        <v>79.984935447003068</v>
      </c>
      <c r="L639" s="32">
        <f t="shared" si="70"/>
        <v>79.984404356053375</v>
      </c>
      <c r="M639" s="32">
        <f t="shared" si="69"/>
        <v>79.984404356053375</v>
      </c>
    </row>
    <row r="640" spans="2:13" x14ac:dyDescent="0.25">
      <c r="B640" s="31">
        <v>500</v>
      </c>
      <c r="C640" s="32">
        <f t="shared" si="66"/>
        <v>9.9999999999998757</v>
      </c>
      <c r="D640" s="35">
        <f t="shared" si="67"/>
        <v>80</v>
      </c>
      <c r="E640" s="32">
        <f t="shared" si="70"/>
        <v>79.997171033927202</v>
      </c>
      <c r="F640" s="32">
        <f t="shared" si="70"/>
        <v>79.994438404901047</v>
      </c>
      <c r="G640" s="32">
        <f t="shared" si="70"/>
        <v>79.991895169325545</v>
      </c>
      <c r="H640" s="32">
        <f t="shared" si="70"/>
        <v>79.989627934038054</v>
      </c>
      <c r="I640" s="32">
        <f t="shared" si="70"/>
        <v>79.987713907016911</v>
      </c>
      <c r="J640" s="32">
        <f t="shared" si="70"/>
        <v>79.986218268156819</v>
      </c>
      <c r="K640" s="32">
        <f t="shared" si="70"/>
        <v>79.985191949645241</v>
      </c>
      <c r="L640" s="32">
        <f t="shared" si="70"/>
        <v>79.984669901528221</v>
      </c>
      <c r="M640" s="32">
        <f t="shared" si="69"/>
        <v>79.984669901528221</v>
      </c>
    </row>
    <row r="641" spans="2:13" x14ac:dyDescent="0.25">
      <c r="B641" s="31">
        <v>501</v>
      </c>
      <c r="C641" s="32">
        <f t="shared" si="66"/>
        <v>10.019999999999875</v>
      </c>
      <c r="D641" s="35">
        <f t="shared" si="67"/>
        <v>80</v>
      </c>
      <c r="E641" s="32">
        <f t="shared" si="70"/>
        <v>79.997219202450523</v>
      </c>
      <c r="F641" s="32">
        <f t="shared" si="70"/>
        <v>79.994533101626374</v>
      </c>
      <c r="G641" s="32">
        <f t="shared" si="70"/>
        <v>79.992033169469551</v>
      </c>
      <c r="H641" s="32">
        <f t="shared" si="70"/>
        <v>79.989804538171228</v>
      </c>
      <c r="I641" s="32">
        <f t="shared" si="70"/>
        <v>79.987923101097437</v>
      </c>
      <c r="J641" s="32">
        <f t="shared" si="70"/>
        <v>79.986452928331076</v>
      </c>
      <c r="K641" s="32">
        <f t="shared" si="70"/>
        <v>79.985444084842527</v>
      </c>
      <c r="L641" s="32">
        <f t="shared" si="70"/>
        <v>79.984930925586724</v>
      </c>
      <c r="M641" s="32">
        <f t="shared" si="69"/>
        <v>79.984930925586724</v>
      </c>
    </row>
    <row r="642" spans="2:13" x14ac:dyDescent="0.25">
      <c r="B642" s="31">
        <v>502</v>
      </c>
      <c r="C642" s="32">
        <f t="shared" si="66"/>
        <v>10.039999999999875</v>
      </c>
      <c r="D642" s="35">
        <f t="shared" si="67"/>
        <v>80</v>
      </c>
      <c r="E642" s="32">
        <f t="shared" si="70"/>
        <v>79.99726655081318</v>
      </c>
      <c r="F642" s="32">
        <f t="shared" si="70"/>
        <v>79.994626185960044</v>
      </c>
      <c r="G642" s="32">
        <f t="shared" si="70"/>
        <v>79.992168819898808</v>
      </c>
      <c r="H642" s="32">
        <f t="shared" si="70"/>
        <v>79.989978135283494</v>
      </c>
      <c r="I642" s="32">
        <f t="shared" si="70"/>
        <v>79.988128733251159</v>
      </c>
      <c r="J642" s="32">
        <f t="shared" si="70"/>
        <v>79.986683592969982</v>
      </c>
      <c r="K642" s="32">
        <f t="shared" si="70"/>
        <v>79.985691926958907</v>
      </c>
      <c r="L642" s="32">
        <f t="shared" si="70"/>
        <v>79.985187505214626</v>
      </c>
      <c r="M642" s="32">
        <f t="shared" si="69"/>
        <v>79.985187505214626</v>
      </c>
    </row>
    <row r="643" spans="2:13" x14ac:dyDescent="0.25">
      <c r="B643" s="31">
        <v>503</v>
      </c>
      <c r="C643" s="32">
        <f t="shared" si="66"/>
        <v>10.059999999999874</v>
      </c>
      <c r="D643" s="35">
        <f t="shared" si="67"/>
        <v>80</v>
      </c>
      <c r="E643" s="32">
        <f t="shared" si="70"/>
        <v>79.997313092980022</v>
      </c>
      <c r="F643" s="32">
        <f t="shared" si="70"/>
        <v>79.994717685355994</v>
      </c>
      <c r="G643" s="32">
        <f t="shared" si="70"/>
        <v>79.992302160621762</v>
      </c>
      <c r="H643" s="32">
        <f t="shared" si="70"/>
        <v>79.990148776574983</v>
      </c>
      <c r="I643" s="32">
        <f t="shared" si="70"/>
        <v>79.988330864126738</v>
      </c>
      <c r="J643" s="32">
        <f t="shared" si="70"/>
        <v>79.986910330105033</v>
      </c>
      <c r="K643" s="32">
        <f t="shared" si="70"/>
        <v>79.985935549092304</v>
      </c>
      <c r="L643" s="32">
        <f t="shared" si="70"/>
        <v>79.985439716086773</v>
      </c>
      <c r="M643" s="32">
        <f t="shared" si="69"/>
        <v>79.985439716086773</v>
      </c>
    </row>
    <row r="644" spans="2:13" x14ac:dyDescent="0.25">
      <c r="B644" s="31">
        <v>504</v>
      </c>
      <c r="C644" s="32">
        <f t="shared" ref="C644:C706" si="71">C643+$E$138</f>
        <v>10.079999999999874</v>
      </c>
      <c r="D644" s="35">
        <f t="shared" ref="D644:D706" si="72">D643</f>
        <v>80</v>
      </c>
      <c r="E644" s="32">
        <f t="shared" si="70"/>
        <v>79.997358842677997</v>
      </c>
      <c r="F644" s="32">
        <f t="shared" si="70"/>
        <v>79.994807626800892</v>
      </c>
      <c r="G644" s="32">
        <f t="shared" si="70"/>
        <v>79.992433230965489</v>
      </c>
      <c r="H644" s="32">
        <f t="shared" si="70"/>
        <v>79.99031651237425</v>
      </c>
      <c r="I644" s="32">
        <f t="shared" si="70"/>
        <v>79.988529553340015</v>
      </c>
      <c r="J644" s="32">
        <f t="shared" si="70"/>
        <v>79.987133206609514</v>
      </c>
      <c r="K644" s="32">
        <f t="shared" si="70"/>
        <v>79.98617502309591</v>
      </c>
      <c r="L644" s="32">
        <f t="shared" si="70"/>
        <v>79.985687632589531</v>
      </c>
      <c r="M644" s="32">
        <f t="shared" si="69"/>
        <v>79.985687632589531</v>
      </c>
    </row>
    <row r="645" spans="2:13" x14ac:dyDescent="0.25">
      <c r="B645" s="31">
        <v>505</v>
      </c>
      <c r="C645" s="32">
        <f t="shared" si="71"/>
        <v>10.099999999999874</v>
      </c>
      <c r="D645" s="35">
        <f t="shared" si="72"/>
        <v>80</v>
      </c>
      <c r="E645" s="32">
        <f t="shared" si="70"/>
        <v>79.997403813400439</v>
      </c>
      <c r="F645" s="32">
        <f t="shared" si="70"/>
        <v>79.994896036821743</v>
      </c>
      <c r="G645" s="32">
        <f t="shared" si="70"/>
        <v>79.992562069587564</v>
      </c>
      <c r="H645" s="32">
        <f t="shared" si="70"/>
        <v>79.990481392152759</v>
      </c>
      <c r="I645" s="32">
        <f t="shared" si="70"/>
        <v>79.988724859491882</v>
      </c>
      <c r="J645" s="32">
        <f t="shared" si="70"/>
        <v>79.987352288217963</v>
      </c>
      <c r="K645" s="32">
        <f t="shared" si="70"/>
        <v>79.986410419599522</v>
      </c>
      <c r="L645" s="32">
        <f t="shared" ref="L645:L658" si="73">(K644+M644)/2</f>
        <v>79.985931327842721</v>
      </c>
      <c r="M645" s="32">
        <f t="shared" si="69"/>
        <v>79.985931327842721</v>
      </c>
    </row>
    <row r="646" spans="2:13" x14ac:dyDescent="0.25">
      <c r="B646" s="31">
        <v>506</v>
      </c>
      <c r="C646" s="32">
        <f t="shared" si="71"/>
        <v>10.119999999999873</v>
      </c>
      <c r="D646" s="35">
        <f t="shared" si="72"/>
        <v>80</v>
      </c>
      <c r="E646" s="32">
        <f t="shared" ref="E646:L661" si="74">(D645+F645)/2</f>
        <v>79.997448018410864</v>
      </c>
      <c r="F646" s="32">
        <f t="shared" si="74"/>
        <v>79.994982941494001</v>
      </c>
      <c r="G646" s="32">
        <f t="shared" si="74"/>
        <v>79.992688714487258</v>
      </c>
      <c r="H646" s="32">
        <f t="shared" si="74"/>
        <v>79.990643464539716</v>
      </c>
      <c r="I646" s="32">
        <f t="shared" si="74"/>
        <v>79.988916840185368</v>
      </c>
      <c r="J646" s="32">
        <f t="shared" si="74"/>
        <v>79.987567639545702</v>
      </c>
      <c r="K646" s="32">
        <f t="shared" si="74"/>
        <v>79.986641808030342</v>
      </c>
      <c r="L646" s="32">
        <f t="shared" si="73"/>
        <v>79.986170873721122</v>
      </c>
      <c r="M646" s="32">
        <f t="shared" si="69"/>
        <v>79.986170873721122</v>
      </c>
    </row>
    <row r="647" spans="2:13" x14ac:dyDescent="0.25">
      <c r="B647" s="31">
        <v>507</v>
      </c>
      <c r="C647" s="32">
        <f t="shared" si="71"/>
        <v>10.139999999999873</v>
      </c>
      <c r="D647" s="35">
        <f t="shared" si="72"/>
        <v>80</v>
      </c>
      <c r="E647" s="32">
        <f t="shared" si="74"/>
        <v>79.997491470747008</v>
      </c>
      <c r="F647" s="32">
        <f t="shared" si="74"/>
        <v>79.995068366449061</v>
      </c>
      <c r="G647" s="32">
        <f t="shared" si="74"/>
        <v>79.992813203016851</v>
      </c>
      <c r="H647" s="32">
        <f t="shared" si="74"/>
        <v>79.990802777336313</v>
      </c>
      <c r="I647" s="32">
        <f t="shared" si="74"/>
        <v>79.989105552042702</v>
      </c>
      <c r="J647" s="32">
        <f t="shared" si="74"/>
        <v>79.987779324107862</v>
      </c>
      <c r="K647" s="32">
        <f t="shared" si="74"/>
        <v>79.986869256633412</v>
      </c>
      <c r="L647" s="32">
        <f t="shared" si="73"/>
        <v>79.986406340875732</v>
      </c>
      <c r="M647" s="32">
        <f t="shared" si="69"/>
        <v>79.986406340875732</v>
      </c>
    </row>
    <row r="648" spans="2:13" x14ac:dyDescent="0.25">
      <c r="B648" s="31">
        <v>508</v>
      </c>
      <c r="C648" s="32">
        <f t="shared" si="71"/>
        <v>10.159999999999872</v>
      </c>
      <c r="D648" s="35">
        <f t="shared" si="72"/>
        <v>80</v>
      </c>
      <c r="E648" s="32">
        <f t="shared" si="74"/>
        <v>79.997534183224531</v>
      </c>
      <c r="F648" s="32">
        <f t="shared" si="74"/>
        <v>79.99515233688193</v>
      </c>
      <c r="G648" s="32">
        <f t="shared" si="74"/>
        <v>79.992935571892687</v>
      </c>
      <c r="H648" s="32">
        <f t="shared" si="74"/>
        <v>79.990959377529776</v>
      </c>
      <c r="I648" s="32">
        <f t="shared" si="74"/>
        <v>79.989291050722088</v>
      </c>
      <c r="J648" s="32">
        <f t="shared" si="74"/>
        <v>79.987987404338057</v>
      </c>
      <c r="K648" s="32">
        <f t="shared" si="74"/>
        <v>79.987092832491797</v>
      </c>
      <c r="L648" s="32">
        <f t="shared" si="73"/>
        <v>79.986637798754572</v>
      </c>
      <c r="M648" s="32">
        <f t="shared" si="69"/>
        <v>79.986637798754572</v>
      </c>
    </row>
    <row r="649" spans="2:13" x14ac:dyDescent="0.25">
      <c r="B649" s="31">
        <v>509</v>
      </c>
      <c r="C649" s="32">
        <f t="shared" si="71"/>
        <v>10.179999999999872</v>
      </c>
      <c r="D649" s="35">
        <f t="shared" si="72"/>
        <v>80</v>
      </c>
      <c r="E649" s="32">
        <f t="shared" si="74"/>
        <v>79.997576168440958</v>
      </c>
      <c r="F649" s="32">
        <f t="shared" si="74"/>
        <v>79.995234877558602</v>
      </c>
      <c r="G649" s="32">
        <f t="shared" si="74"/>
        <v>79.99305585720586</v>
      </c>
      <c r="H649" s="32">
        <f t="shared" si="74"/>
        <v>79.991113311307387</v>
      </c>
      <c r="I649" s="32">
        <f t="shared" si="74"/>
        <v>79.98947339093391</v>
      </c>
      <c r="J649" s="32">
        <f t="shared" si="74"/>
        <v>79.988191941606942</v>
      </c>
      <c r="K649" s="32">
        <f t="shared" si="74"/>
        <v>79.987312601546307</v>
      </c>
      <c r="L649" s="32">
        <f t="shared" si="73"/>
        <v>79.986865315623191</v>
      </c>
      <c r="M649" s="32">
        <f t="shared" si="69"/>
        <v>79.986865315623191</v>
      </c>
    </row>
    <row r="650" spans="2:13" x14ac:dyDescent="0.25">
      <c r="B650" s="31">
        <v>510</v>
      </c>
      <c r="C650" s="32">
        <f t="shared" si="71"/>
        <v>10.199999999999871</v>
      </c>
      <c r="D650" s="35">
        <f t="shared" si="72"/>
        <v>80</v>
      </c>
      <c r="E650" s="32">
        <f t="shared" si="74"/>
        <v>79.997617438779301</v>
      </c>
      <c r="F650" s="32">
        <f t="shared" si="74"/>
        <v>79.995316012823409</v>
      </c>
      <c r="G650" s="32">
        <f t="shared" si="74"/>
        <v>79.993174094432987</v>
      </c>
      <c r="H650" s="32">
        <f t="shared" si="74"/>
        <v>79.991264624069885</v>
      </c>
      <c r="I650" s="32">
        <f t="shared" si="74"/>
        <v>79.989652626457172</v>
      </c>
      <c r="J650" s="32">
        <f t="shared" si="74"/>
        <v>79.988392996240108</v>
      </c>
      <c r="K650" s="32">
        <f t="shared" si="74"/>
        <v>79.987528628615067</v>
      </c>
      <c r="L650" s="32">
        <f t="shared" si="73"/>
        <v>79.987088958584749</v>
      </c>
      <c r="M650" s="32">
        <f t="shared" si="69"/>
        <v>79.987088958584749</v>
      </c>
    </row>
    <row r="651" spans="2:13" x14ac:dyDescent="0.25">
      <c r="B651" s="31">
        <v>511</v>
      </c>
      <c r="C651" s="32">
        <f t="shared" si="71"/>
        <v>10.219999999999871</v>
      </c>
      <c r="D651" s="35">
        <f t="shared" si="72"/>
        <v>80</v>
      </c>
      <c r="E651" s="32">
        <f t="shared" si="74"/>
        <v>79.997658006411712</v>
      </c>
      <c r="F651" s="32">
        <f t="shared" si="74"/>
        <v>79.995395766606151</v>
      </c>
      <c r="G651" s="32">
        <f t="shared" si="74"/>
        <v>79.99329031844664</v>
      </c>
      <c r="H651" s="32">
        <f t="shared" si="74"/>
        <v>79.99141336044508</v>
      </c>
      <c r="I651" s="32">
        <f t="shared" si="74"/>
        <v>79.989828810154989</v>
      </c>
      <c r="J651" s="32">
        <f t="shared" si="74"/>
        <v>79.988590627536126</v>
      </c>
      <c r="K651" s="32">
        <f t="shared" si="74"/>
        <v>79.987740977412429</v>
      </c>
      <c r="L651" s="32">
        <f t="shared" si="73"/>
        <v>79.987308793599908</v>
      </c>
      <c r="M651" s="32">
        <f t="shared" si="69"/>
        <v>79.987308793599908</v>
      </c>
    </row>
    <row r="652" spans="2:13" x14ac:dyDescent="0.25">
      <c r="B652" s="31">
        <v>512</v>
      </c>
      <c r="C652" s="32">
        <f t="shared" si="71"/>
        <v>10.239999999999871</v>
      </c>
      <c r="D652" s="35">
        <f t="shared" si="72"/>
        <v>80</v>
      </c>
      <c r="E652" s="32">
        <f t="shared" si="74"/>
        <v>79.997697883303076</v>
      </c>
      <c r="F652" s="32">
        <f t="shared" si="74"/>
        <v>79.995474162429176</v>
      </c>
      <c r="G652" s="32">
        <f t="shared" si="74"/>
        <v>79.993404563525615</v>
      </c>
      <c r="H652" s="32">
        <f t="shared" si="74"/>
        <v>79.991559564300815</v>
      </c>
      <c r="I652" s="32">
        <f t="shared" si="74"/>
        <v>79.990001993990603</v>
      </c>
      <c r="J652" s="32">
        <f t="shared" si="74"/>
        <v>79.988784893783702</v>
      </c>
      <c r="K652" s="32">
        <f t="shared" si="74"/>
        <v>79.987949710568017</v>
      </c>
      <c r="L652" s="32">
        <f t="shared" si="73"/>
        <v>79.987524885506161</v>
      </c>
      <c r="M652" s="32">
        <f t="shared" si="69"/>
        <v>79.987524885506161</v>
      </c>
    </row>
    <row r="653" spans="2:13" x14ac:dyDescent="0.25">
      <c r="B653" s="31">
        <v>513</v>
      </c>
      <c r="C653" s="32">
        <f t="shared" si="71"/>
        <v>10.25999999999987</v>
      </c>
      <c r="D653" s="35">
        <f t="shared" si="72"/>
        <v>80</v>
      </c>
      <c r="E653" s="32">
        <f t="shared" si="74"/>
        <v>79.997737081214581</v>
      </c>
      <c r="F653" s="32">
        <f t="shared" si="74"/>
        <v>79.995551223414338</v>
      </c>
      <c r="G653" s="32">
        <f t="shared" si="74"/>
        <v>79.993516863364988</v>
      </c>
      <c r="H653" s="32">
        <f t="shared" si="74"/>
        <v>79.991703278758109</v>
      </c>
      <c r="I653" s="32">
        <f t="shared" si="74"/>
        <v>79.990172229042258</v>
      </c>
      <c r="J653" s="32">
        <f t="shared" si="74"/>
        <v>79.98897585227931</v>
      </c>
      <c r="K653" s="32">
        <f t="shared" si="74"/>
        <v>79.988154889644932</v>
      </c>
      <c r="L653" s="32">
        <f t="shared" si="73"/>
        <v>79.987737298037089</v>
      </c>
      <c r="M653" s="32">
        <f t="shared" ref="M653:M706" si="75">L653</f>
        <v>79.987737298037089</v>
      </c>
    </row>
    <row r="654" spans="2:13" x14ac:dyDescent="0.25">
      <c r="B654" s="31">
        <v>514</v>
      </c>
      <c r="C654" s="32">
        <f t="shared" si="71"/>
        <v>10.27999999999987</v>
      </c>
      <c r="D654" s="35">
        <f t="shared" si="72"/>
        <v>80</v>
      </c>
      <c r="E654" s="32">
        <f t="shared" si="74"/>
        <v>79.997775611707169</v>
      </c>
      <c r="F654" s="32">
        <f t="shared" si="74"/>
        <v>79.995626972289784</v>
      </c>
      <c r="G654" s="32">
        <f t="shared" si="74"/>
        <v>79.993627251086224</v>
      </c>
      <c r="H654" s="32">
        <f t="shared" si="74"/>
        <v>79.991844546203623</v>
      </c>
      <c r="I654" s="32">
        <f t="shared" si="74"/>
        <v>79.99033956551871</v>
      </c>
      <c r="J654" s="32">
        <f t="shared" si="74"/>
        <v>79.989163559343595</v>
      </c>
      <c r="K654" s="32">
        <f t="shared" si="74"/>
        <v>79.988356575158207</v>
      </c>
      <c r="L654" s="32">
        <f t="shared" si="73"/>
        <v>79.987946093841003</v>
      </c>
      <c r="M654" s="32">
        <f t="shared" si="75"/>
        <v>79.987946093841003</v>
      </c>
    </row>
    <row r="655" spans="2:13" x14ac:dyDescent="0.25">
      <c r="B655" s="31">
        <v>515</v>
      </c>
      <c r="C655" s="32">
        <f t="shared" si="71"/>
        <v>10.299999999999869</v>
      </c>
      <c r="D655" s="35">
        <f t="shared" si="72"/>
        <v>80</v>
      </c>
      <c r="E655" s="32">
        <f t="shared" si="74"/>
        <v>79.997813486144892</v>
      </c>
      <c r="F655" s="32">
        <f t="shared" si="74"/>
        <v>79.995701431396697</v>
      </c>
      <c r="G655" s="32">
        <f t="shared" si="74"/>
        <v>79.993735759246704</v>
      </c>
      <c r="H655" s="32">
        <f t="shared" si="74"/>
        <v>79.991983408302474</v>
      </c>
      <c r="I655" s="32">
        <f t="shared" si="74"/>
        <v>79.990504052773616</v>
      </c>
      <c r="J655" s="32">
        <f t="shared" si="74"/>
        <v>79.989348070338451</v>
      </c>
      <c r="K655" s="32">
        <f t="shared" si="74"/>
        <v>79.988554826592292</v>
      </c>
      <c r="L655" s="32">
        <f t="shared" si="73"/>
        <v>79.988151334499605</v>
      </c>
      <c r="M655" s="32">
        <f t="shared" si="75"/>
        <v>79.988151334499605</v>
      </c>
    </row>
    <row r="656" spans="2:13" x14ac:dyDescent="0.25">
      <c r="B656" s="31">
        <v>516</v>
      </c>
      <c r="C656" s="32">
        <f t="shared" si="71"/>
        <v>10.319999999999869</v>
      </c>
      <c r="D656" s="35">
        <f t="shared" si="72"/>
        <v>80</v>
      </c>
      <c r="E656" s="32">
        <f t="shared" si="74"/>
        <v>79.997850715698348</v>
      </c>
      <c r="F656" s="32">
        <f t="shared" si="74"/>
        <v>79.995774622695791</v>
      </c>
      <c r="G656" s="32">
        <f t="shared" si="74"/>
        <v>79.993842419849585</v>
      </c>
      <c r="H656" s="32">
        <f t="shared" si="74"/>
        <v>79.99211990601016</v>
      </c>
      <c r="I656" s="32">
        <f t="shared" si="74"/>
        <v>79.990665739320463</v>
      </c>
      <c r="J656" s="32">
        <f t="shared" si="74"/>
        <v>79.989529439682954</v>
      </c>
      <c r="K656" s="32">
        <f t="shared" si="74"/>
        <v>79.988749702419028</v>
      </c>
      <c r="L656" s="32">
        <f t="shared" si="73"/>
        <v>79.988353080545949</v>
      </c>
      <c r="M656" s="32">
        <f t="shared" si="75"/>
        <v>79.988353080545949</v>
      </c>
    </row>
    <row r="657" spans="2:13" x14ac:dyDescent="0.25">
      <c r="B657" s="31">
        <v>517</v>
      </c>
      <c r="C657" s="32">
        <f t="shared" si="71"/>
        <v>10.339999999999868</v>
      </c>
      <c r="D657" s="35">
        <f t="shared" si="72"/>
        <v>80</v>
      </c>
      <c r="E657" s="32">
        <f t="shared" si="74"/>
        <v>79.997887311347895</v>
      </c>
      <c r="F657" s="32">
        <f t="shared" si="74"/>
        <v>79.995846567773967</v>
      </c>
      <c r="G657" s="32">
        <f t="shared" si="74"/>
        <v>79.993947264352983</v>
      </c>
      <c r="H657" s="32">
        <f t="shared" si="74"/>
        <v>79.992254079585024</v>
      </c>
      <c r="I657" s="32">
        <f t="shared" si="74"/>
        <v>79.990824672846557</v>
      </c>
      <c r="J657" s="32">
        <f t="shared" si="74"/>
        <v>79.989707720869745</v>
      </c>
      <c r="K657" s="32">
        <f t="shared" si="74"/>
        <v>79.988941260114444</v>
      </c>
      <c r="L657" s="32">
        <f t="shared" si="73"/>
        <v>79.988551391482488</v>
      </c>
      <c r="M657" s="32">
        <f t="shared" si="75"/>
        <v>79.988551391482488</v>
      </c>
    </row>
    <row r="658" spans="2:13" x14ac:dyDescent="0.25">
      <c r="B658" s="31">
        <v>518</v>
      </c>
      <c r="C658" s="32">
        <f t="shared" si="71"/>
        <v>10.359999999999868</v>
      </c>
      <c r="D658" s="35">
        <f t="shared" si="72"/>
        <v>80</v>
      </c>
      <c r="E658" s="32">
        <f t="shared" si="74"/>
        <v>79.99792328388699</v>
      </c>
      <c r="F658" s="32">
        <f t="shared" si="74"/>
        <v>79.995917287850432</v>
      </c>
      <c r="G658" s="32">
        <f t="shared" si="74"/>
        <v>79.994050323679488</v>
      </c>
      <c r="H658" s="32">
        <f t="shared" si="74"/>
        <v>79.992385968599763</v>
      </c>
      <c r="I658" s="32">
        <f t="shared" si="74"/>
        <v>79.990980900227385</v>
      </c>
      <c r="J658" s="32">
        <f t="shared" si="74"/>
        <v>79.989882966480508</v>
      </c>
      <c r="K658" s="32">
        <f t="shared" si="74"/>
        <v>79.989129556176124</v>
      </c>
      <c r="L658" s="32">
        <f t="shared" si="73"/>
        <v>79.988746325798473</v>
      </c>
      <c r="M658" s="32">
        <f t="shared" si="75"/>
        <v>79.988746325798473</v>
      </c>
    </row>
    <row r="659" spans="2:13" x14ac:dyDescent="0.25">
      <c r="B659" s="31">
        <v>519</v>
      </c>
      <c r="C659" s="32">
        <f t="shared" si="71"/>
        <v>10.379999999999868</v>
      </c>
      <c r="D659" s="35">
        <f t="shared" si="72"/>
        <v>80</v>
      </c>
      <c r="E659" s="32">
        <f t="shared" si="74"/>
        <v>79.997958643925216</v>
      </c>
      <c r="F659" s="32">
        <f t="shared" si="74"/>
        <v>79.995986803783239</v>
      </c>
      <c r="G659" s="32">
        <f t="shared" si="74"/>
        <v>79.994151628225097</v>
      </c>
      <c r="H659" s="32">
        <f t="shared" si="74"/>
        <v>79.992515611953436</v>
      </c>
      <c r="I659" s="32">
        <f t="shared" si="74"/>
        <v>79.991134467540135</v>
      </c>
      <c r="J659" s="32">
        <f t="shared" si="74"/>
        <v>79.990055228201754</v>
      </c>
      <c r="K659" s="32">
        <f t="shared" si="74"/>
        <v>79.989314646139491</v>
      </c>
      <c r="L659" s="32">
        <f t="shared" si="74"/>
        <v>79.988937940987299</v>
      </c>
      <c r="M659" s="32">
        <f t="shared" si="75"/>
        <v>79.988937940987299</v>
      </c>
    </row>
    <row r="660" spans="2:13" x14ac:dyDescent="0.25">
      <c r="B660" s="31">
        <v>520</v>
      </c>
      <c r="C660" s="32">
        <f t="shared" si="71"/>
        <v>10.399999999999867</v>
      </c>
      <c r="D660" s="35">
        <f t="shared" si="72"/>
        <v>80</v>
      </c>
      <c r="E660" s="32">
        <f t="shared" si="74"/>
        <v>79.99799340189162</v>
      </c>
      <c r="F660" s="32">
        <f t="shared" si="74"/>
        <v>79.996055136075157</v>
      </c>
      <c r="G660" s="32">
        <f t="shared" si="74"/>
        <v>79.994251207868331</v>
      </c>
      <c r="H660" s="32">
        <f t="shared" si="74"/>
        <v>79.992643047882609</v>
      </c>
      <c r="I660" s="32">
        <f t="shared" si="74"/>
        <v>79.991285420077588</v>
      </c>
      <c r="J660" s="32">
        <f t="shared" si="74"/>
        <v>79.99022455683982</v>
      </c>
      <c r="K660" s="32">
        <f t="shared" si="74"/>
        <v>79.989496584594519</v>
      </c>
      <c r="L660" s="32">
        <f t="shared" si="74"/>
        <v>79.989126293563402</v>
      </c>
      <c r="M660" s="32">
        <f t="shared" si="75"/>
        <v>79.989126293563402</v>
      </c>
    </row>
    <row r="661" spans="2:13" x14ac:dyDescent="0.25">
      <c r="B661" s="31">
        <v>521</v>
      </c>
      <c r="C661" s="32">
        <f t="shared" si="71"/>
        <v>10.419999999999867</v>
      </c>
      <c r="D661" s="35">
        <f t="shared" si="72"/>
        <v>80</v>
      </c>
      <c r="E661" s="32">
        <f t="shared" si="74"/>
        <v>79.998027568037571</v>
      </c>
      <c r="F661" s="32">
        <f t="shared" si="74"/>
        <v>79.996122304879975</v>
      </c>
      <c r="G661" s="32">
        <f t="shared" si="74"/>
        <v>79.994349091978876</v>
      </c>
      <c r="H661" s="32">
        <f t="shared" si="74"/>
        <v>79.99276831397296</v>
      </c>
      <c r="I661" s="32">
        <f t="shared" si="74"/>
        <v>79.991433802361215</v>
      </c>
      <c r="J661" s="32">
        <f t="shared" si="74"/>
        <v>79.990391002336054</v>
      </c>
      <c r="K661" s="32">
        <f t="shared" si="74"/>
        <v>79.989675425201611</v>
      </c>
      <c r="L661" s="32">
        <f t="shared" si="74"/>
        <v>79.989311439078961</v>
      </c>
      <c r="M661" s="32">
        <f t="shared" si="75"/>
        <v>79.989311439078961</v>
      </c>
    </row>
    <row r="662" spans="2:13" x14ac:dyDescent="0.25">
      <c r="B662" s="31">
        <v>522</v>
      </c>
      <c r="C662" s="32">
        <f t="shared" si="71"/>
        <v>10.439999999999866</v>
      </c>
      <c r="D662" s="35">
        <f t="shared" si="72"/>
        <v>80</v>
      </c>
      <c r="E662" s="32">
        <f t="shared" ref="E662:L677" si="76">(D661+F661)/2</f>
        <v>79.998061152439988</v>
      </c>
      <c r="F662" s="32">
        <f t="shared" si="76"/>
        <v>79.996188330008223</v>
      </c>
      <c r="G662" s="32">
        <f t="shared" si="76"/>
        <v>79.994445309426467</v>
      </c>
      <c r="H662" s="32">
        <f t="shared" si="76"/>
        <v>79.992891447170052</v>
      </c>
      <c r="I662" s="32">
        <f t="shared" si="76"/>
        <v>79.991579658154507</v>
      </c>
      <c r="J662" s="32">
        <f t="shared" si="76"/>
        <v>79.990554613781413</v>
      </c>
      <c r="K662" s="32">
        <f t="shared" si="76"/>
        <v>79.989851220707507</v>
      </c>
      <c r="L662" s="32">
        <f t="shared" si="76"/>
        <v>79.989493432140279</v>
      </c>
      <c r="M662" s="32">
        <f t="shared" si="75"/>
        <v>79.989493432140279</v>
      </c>
    </row>
    <row r="663" spans="2:13" x14ac:dyDescent="0.25">
      <c r="B663" s="31">
        <v>523</v>
      </c>
      <c r="C663" s="32">
        <f t="shared" si="71"/>
        <v>10.459999999999866</v>
      </c>
      <c r="D663" s="35">
        <f t="shared" si="72"/>
        <v>80</v>
      </c>
      <c r="E663" s="32">
        <f t="shared" si="76"/>
        <v>79.998094165004119</v>
      </c>
      <c r="F663" s="32">
        <f t="shared" si="76"/>
        <v>79.996253230933235</v>
      </c>
      <c r="G663" s="32">
        <f t="shared" si="76"/>
        <v>79.994539888589145</v>
      </c>
      <c r="H663" s="32">
        <f t="shared" si="76"/>
        <v>79.993012483790494</v>
      </c>
      <c r="I663" s="32">
        <f t="shared" si="76"/>
        <v>79.991723030475725</v>
      </c>
      <c r="J663" s="32">
        <f t="shared" si="76"/>
        <v>79.990715439431</v>
      </c>
      <c r="K663" s="32">
        <f t="shared" si="76"/>
        <v>79.990024022960853</v>
      </c>
      <c r="L663" s="32">
        <f t="shared" si="76"/>
        <v>79.989672326423886</v>
      </c>
      <c r="M663" s="32">
        <f t="shared" si="75"/>
        <v>79.989672326423886</v>
      </c>
    </row>
    <row r="664" spans="2:13" x14ac:dyDescent="0.25">
      <c r="B664" s="31">
        <v>524</v>
      </c>
      <c r="C664" s="32">
        <f t="shared" si="71"/>
        <v>10.479999999999865</v>
      </c>
      <c r="D664" s="35">
        <f t="shared" si="72"/>
        <v>80</v>
      </c>
      <c r="E664" s="32">
        <f t="shared" si="76"/>
        <v>79.998126615466617</v>
      </c>
      <c r="F664" s="32">
        <f t="shared" si="76"/>
        <v>79.996317026796632</v>
      </c>
      <c r="G664" s="32">
        <f t="shared" si="76"/>
        <v>79.994632857361864</v>
      </c>
      <c r="H664" s="32">
        <f t="shared" si="76"/>
        <v>79.993131459532435</v>
      </c>
      <c r="I664" s="32">
        <f t="shared" si="76"/>
        <v>79.991863961610747</v>
      </c>
      <c r="J664" s="32">
        <f t="shared" si="76"/>
        <v>79.990873526718289</v>
      </c>
      <c r="K664" s="32">
        <f t="shared" si="76"/>
        <v>79.990193882927443</v>
      </c>
      <c r="L664" s="32">
        <f t="shared" si="76"/>
        <v>79.989848174692369</v>
      </c>
      <c r="M664" s="32">
        <f t="shared" si="75"/>
        <v>79.989848174692369</v>
      </c>
    </row>
    <row r="665" spans="2:13" x14ac:dyDescent="0.25">
      <c r="B665" s="31">
        <v>525</v>
      </c>
      <c r="C665" s="32">
        <f t="shared" si="71"/>
        <v>10.499999999999865</v>
      </c>
      <c r="D665" s="35">
        <f t="shared" si="72"/>
        <v>80</v>
      </c>
      <c r="E665" s="32">
        <f t="shared" si="76"/>
        <v>79.998158513398323</v>
      </c>
      <c r="F665" s="32">
        <f t="shared" si="76"/>
        <v>79.996379736414241</v>
      </c>
      <c r="G665" s="32">
        <f t="shared" si="76"/>
        <v>79.994724243164541</v>
      </c>
      <c r="H665" s="32">
        <f t="shared" si="76"/>
        <v>79.993248409486313</v>
      </c>
      <c r="I665" s="32">
        <f t="shared" si="76"/>
        <v>79.992002493125369</v>
      </c>
      <c r="J665" s="32">
        <f t="shared" si="76"/>
        <v>79.991028922269095</v>
      </c>
      <c r="K665" s="32">
        <f t="shared" si="76"/>
        <v>79.990360850705329</v>
      </c>
      <c r="L665" s="32">
        <f t="shared" si="76"/>
        <v>79.990021028809906</v>
      </c>
      <c r="M665" s="32">
        <f t="shared" si="75"/>
        <v>79.990021028809906</v>
      </c>
    </row>
    <row r="666" spans="2:13" x14ac:dyDescent="0.25">
      <c r="B666" s="31">
        <v>526</v>
      </c>
      <c r="C666" s="32">
        <f t="shared" si="71"/>
        <v>10.519999999999865</v>
      </c>
      <c r="D666" s="35">
        <f t="shared" si="72"/>
        <v>80</v>
      </c>
      <c r="E666" s="32">
        <f t="shared" si="76"/>
        <v>79.99818986820712</v>
      </c>
      <c r="F666" s="32">
        <f t="shared" si="76"/>
        <v>79.996441378281432</v>
      </c>
      <c r="G666" s="32">
        <f t="shared" si="76"/>
        <v>79.994814072950277</v>
      </c>
      <c r="H666" s="32">
        <f t="shared" si="76"/>
        <v>79.993363368144955</v>
      </c>
      <c r="I666" s="32">
        <f t="shared" si="76"/>
        <v>79.992138665877704</v>
      </c>
      <c r="J666" s="32">
        <f t="shared" si="76"/>
        <v>79.991181671915342</v>
      </c>
      <c r="K666" s="32">
        <f t="shared" si="76"/>
        <v>79.9905249755395</v>
      </c>
      <c r="L666" s="32">
        <f t="shared" si="76"/>
        <v>79.990190939757611</v>
      </c>
      <c r="M666" s="32">
        <f t="shared" si="75"/>
        <v>79.990190939757611</v>
      </c>
    </row>
    <row r="667" spans="2:13" x14ac:dyDescent="0.25">
      <c r="B667" s="31">
        <v>527</v>
      </c>
      <c r="C667" s="32">
        <f t="shared" si="71"/>
        <v>10.539999999999864</v>
      </c>
      <c r="D667" s="35">
        <f t="shared" si="72"/>
        <v>80</v>
      </c>
      <c r="E667" s="32">
        <f t="shared" si="76"/>
        <v>79.998220689140709</v>
      </c>
      <c r="F667" s="32">
        <f t="shared" si="76"/>
        <v>79.996501970578691</v>
      </c>
      <c r="G667" s="32">
        <f t="shared" si="76"/>
        <v>79.994902373213193</v>
      </c>
      <c r="H667" s="32">
        <f t="shared" si="76"/>
        <v>79.993476369413997</v>
      </c>
      <c r="I667" s="32">
        <f t="shared" si="76"/>
        <v>79.992272520030156</v>
      </c>
      <c r="J667" s="32">
        <f t="shared" si="76"/>
        <v>79.991331820708609</v>
      </c>
      <c r="K667" s="32">
        <f t="shared" si="76"/>
        <v>79.990686305836476</v>
      </c>
      <c r="L667" s="32">
        <f t="shared" si="76"/>
        <v>79.990357957648555</v>
      </c>
      <c r="M667" s="32">
        <f t="shared" si="75"/>
        <v>79.990357957648555</v>
      </c>
    </row>
    <row r="668" spans="2:13" x14ac:dyDescent="0.25">
      <c r="B668" s="31">
        <v>528</v>
      </c>
      <c r="C668" s="32">
        <f t="shared" si="71"/>
        <v>10.559999999999864</v>
      </c>
      <c r="D668" s="35">
        <f t="shared" si="72"/>
        <v>80</v>
      </c>
      <c r="E668" s="32">
        <f t="shared" si="76"/>
        <v>79.998250985289346</v>
      </c>
      <c r="F668" s="32">
        <f t="shared" si="76"/>
        <v>79.996561531176951</v>
      </c>
      <c r="G668" s="32">
        <f t="shared" si="76"/>
        <v>79.994989169996344</v>
      </c>
      <c r="H668" s="32">
        <f t="shared" si="76"/>
        <v>79.993587446621675</v>
      </c>
      <c r="I668" s="32">
        <f t="shared" si="76"/>
        <v>79.992404095061303</v>
      </c>
      <c r="J668" s="32">
        <f t="shared" si="76"/>
        <v>79.991479412933316</v>
      </c>
      <c r="K668" s="32">
        <f t="shared" si="76"/>
        <v>79.990844889178589</v>
      </c>
      <c r="L668" s="32">
        <f t="shared" si="76"/>
        <v>79.990522131742523</v>
      </c>
      <c r="M668" s="32">
        <f t="shared" si="75"/>
        <v>79.990522131742523</v>
      </c>
    </row>
    <row r="669" spans="2:13" x14ac:dyDescent="0.25">
      <c r="B669" s="31">
        <v>529</v>
      </c>
      <c r="C669" s="32">
        <f t="shared" si="71"/>
        <v>10.579999999999863</v>
      </c>
      <c r="D669" s="35">
        <f t="shared" si="72"/>
        <v>80</v>
      </c>
      <c r="E669" s="32">
        <f t="shared" si="76"/>
        <v>79.998280765588476</v>
      </c>
      <c r="F669" s="32">
        <f t="shared" si="76"/>
        <v>79.996620077642845</v>
      </c>
      <c r="G669" s="32">
        <f t="shared" si="76"/>
        <v>79.99507448889932</v>
      </c>
      <c r="H669" s="32">
        <f t="shared" si="76"/>
        <v>79.993696632528824</v>
      </c>
      <c r="I669" s="32">
        <f t="shared" si="76"/>
        <v>79.992533429777495</v>
      </c>
      <c r="J669" s="32">
        <f t="shared" si="76"/>
        <v>79.991624492119939</v>
      </c>
      <c r="K669" s="32">
        <f t="shared" si="76"/>
        <v>79.991000772337912</v>
      </c>
      <c r="L669" s="32">
        <f t="shared" si="76"/>
        <v>79.990683510460556</v>
      </c>
      <c r="M669" s="32">
        <f t="shared" si="75"/>
        <v>79.990683510460556</v>
      </c>
    </row>
    <row r="670" spans="2:13" x14ac:dyDescent="0.25">
      <c r="B670" s="31">
        <v>530</v>
      </c>
      <c r="C670" s="32">
        <f t="shared" si="71"/>
        <v>10.599999999999863</v>
      </c>
      <c r="D670" s="35">
        <f t="shared" si="72"/>
        <v>80</v>
      </c>
      <c r="E670" s="32">
        <f t="shared" si="76"/>
        <v>79.998310038821415</v>
      </c>
      <c r="F670" s="32">
        <f t="shared" si="76"/>
        <v>79.996677627243898</v>
      </c>
      <c r="G670" s="32">
        <f t="shared" si="76"/>
        <v>79.995158355085835</v>
      </c>
      <c r="H670" s="32">
        <f t="shared" si="76"/>
        <v>79.993803959338408</v>
      </c>
      <c r="I670" s="32">
        <f t="shared" si="76"/>
        <v>79.992660562324374</v>
      </c>
      <c r="J670" s="32">
        <f t="shared" si="76"/>
        <v>79.991767101057704</v>
      </c>
      <c r="K670" s="32">
        <f t="shared" si="76"/>
        <v>79.991154001290255</v>
      </c>
      <c r="L670" s="32">
        <f t="shared" si="76"/>
        <v>79.990842141399241</v>
      </c>
      <c r="M670" s="32">
        <f t="shared" si="75"/>
        <v>79.990842141399241</v>
      </c>
    </row>
    <row r="671" spans="2:13" x14ac:dyDescent="0.25">
      <c r="B671" s="31">
        <v>531</v>
      </c>
      <c r="C671" s="32">
        <f t="shared" si="71"/>
        <v>10.619999999999862</v>
      </c>
      <c r="D671" s="35">
        <f t="shared" si="72"/>
        <v>80</v>
      </c>
      <c r="E671" s="32">
        <f t="shared" si="76"/>
        <v>79.998338813621956</v>
      </c>
      <c r="F671" s="32">
        <f t="shared" si="76"/>
        <v>79.996734196953625</v>
      </c>
      <c r="G671" s="32">
        <f t="shared" si="76"/>
        <v>79.995240793291146</v>
      </c>
      <c r="H671" s="32">
        <f t="shared" si="76"/>
        <v>79.993909458705104</v>
      </c>
      <c r="I671" s="32">
        <f t="shared" si="76"/>
        <v>79.992785530198063</v>
      </c>
      <c r="J671" s="32">
        <f t="shared" si="76"/>
        <v>79.991907281807315</v>
      </c>
      <c r="K671" s="32">
        <f t="shared" si="76"/>
        <v>79.991304621228466</v>
      </c>
      <c r="L671" s="32">
        <f t="shared" si="76"/>
        <v>79.990998071344748</v>
      </c>
      <c r="M671" s="32">
        <f t="shared" si="75"/>
        <v>79.990998071344748</v>
      </c>
    </row>
    <row r="672" spans="2:13" x14ac:dyDescent="0.25">
      <c r="B672" s="31">
        <v>532</v>
      </c>
      <c r="C672" s="32">
        <f t="shared" si="71"/>
        <v>10.639999999999862</v>
      </c>
      <c r="D672" s="35">
        <f t="shared" si="72"/>
        <v>80</v>
      </c>
      <c r="E672" s="32">
        <f t="shared" si="76"/>
        <v>79.99836709847682</v>
      </c>
      <c r="F672" s="32">
        <f t="shared" si="76"/>
        <v>79.996789803456551</v>
      </c>
      <c r="G672" s="32">
        <f t="shared" si="76"/>
        <v>79.995321827829372</v>
      </c>
      <c r="H672" s="32">
        <f t="shared" si="76"/>
        <v>79.994013161744604</v>
      </c>
      <c r="I672" s="32">
        <f t="shared" si="76"/>
        <v>79.992908370256202</v>
      </c>
      <c r="J672" s="32">
        <f t="shared" si="76"/>
        <v>79.992045075713264</v>
      </c>
      <c r="K672" s="32">
        <f t="shared" si="76"/>
        <v>79.991452676576031</v>
      </c>
      <c r="L672" s="32">
        <f t="shared" si="76"/>
        <v>79.991151346286614</v>
      </c>
      <c r="M672" s="32">
        <f t="shared" si="75"/>
        <v>79.991151346286614</v>
      </c>
    </row>
    <row r="673" spans="2:13" x14ac:dyDescent="0.25">
      <c r="B673" s="31">
        <v>533</v>
      </c>
      <c r="C673" s="32">
        <f t="shared" si="71"/>
        <v>10.659999999999862</v>
      </c>
      <c r="D673" s="35">
        <f t="shared" si="72"/>
        <v>80</v>
      </c>
      <c r="E673" s="32">
        <f t="shared" si="76"/>
        <v>79.998394901728275</v>
      </c>
      <c r="F673" s="32">
        <f t="shared" si="76"/>
        <v>79.996844463153096</v>
      </c>
      <c r="G673" s="32">
        <f t="shared" si="76"/>
        <v>79.995401482600585</v>
      </c>
      <c r="H673" s="32">
        <f t="shared" si="76"/>
        <v>79.994115099042787</v>
      </c>
      <c r="I673" s="32">
        <f t="shared" si="76"/>
        <v>79.993029118728941</v>
      </c>
      <c r="J673" s="32">
        <f t="shared" si="76"/>
        <v>79.992180523416124</v>
      </c>
      <c r="K673" s="32">
        <f t="shared" si="76"/>
        <v>79.991598210999939</v>
      </c>
      <c r="L673" s="32">
        <f t="shared" si="76"/>
        <v>79.991302011431316</v>
      </c>
      <c r="M673" s="32">
        <f t="shared" si="75"/>
        <v>79.991302011431316</v>
      </c>
    </row>
    <row r="674" spans="2:13" x14ac:dyDescent="0.25">
      <c r="B674" s="31">
        <v>534</v>
      </c>
      <c r="C674" s="32">
        <f t="shared" si="71"/>
        <v>10.679999999999861</v>
      </c>
      <c r="D674" s="35">
        <f t="shared" si="72"/>
        <v>80</v>
      </c>
      <c r="E674" s="32">
        <f t="shared" si="76"/>
        <v>79.998422231576541</v>
      </c>
      <c r="F674" s="32">
        <f t="shared" si="76"/>
        <v>79.996898192164423</v>
      </c>
      <c r="G674" s="32">
        <f t="shared" si="76"/>
        <v>79.995479781097941</v>
      </c>
      <c r="H674" s="32">
        <f t="shared" si="76"/>
        <v>79.994215300664763</v>
      </c>
      <c r="I674" s="32">
        <f t="shared" si="76"/>
        <v>79.993147811229449</v>
      </c>
      <c r="J674" s="32">
        <f t="shared" si="76"/>
        <v>79.99231366486444</v>
      </c>
      <c r="K674" s="32">
        <f t="shared" si="76"/>
        <v>79.99174126742372</v>
      </c>
      <c r="L674" s="32">
        <f t="shared" si="76"/>
        <v>79.991450111215627</v>
      </c>
      <c r="M674" s="32">
        <f t="shared" si="75"/>
        <v>79.991450111215627</v>
      </c>
    </row>
    <row r="675" spans="2:13" x14ac:dyDescent="0.25">
      <c r="B675" s="31">
        <v>535</v>
      </c>
      <c r="C675" s="32">
        <f t="shared" si="71"/>
        <v>10.699999999999861</v>
      </c>
      <c r="D675" s="35">
        <f t="shared" si="72"/>
        <v>80</v>
      </c>
      <c r="E675" s="32">
        <f t="shared" si="76"/>
        <v>79.998449096082211</v>
      </c>
      <c r="F675" s="32">
        <f t="shared" si="76"/>
        <v>79.996951006337241</v>
      </c>
      <c r="G675" s="32">
        <f t="shared" si="76"/>
        <v>79.995556746414593</v>
      </c>
      <c r="H675" s="32">
        <f t="shared" si="76"/>
        <v>79.994313796163695</v>
      </c>
      <c r="I675" s="32">
        <f t="shared" si="76"/>
        <v>79.993264482764602</v>
      </c>
      <c r="J675" s="32">
        <f t="shared" si="76"/>
        <v>79.992444539326584</v>
      </c>
      <c r="K675" s="32">
        <f t="shared" si="76"/>
        <v>79.991881888040041</v>
      </c>
      <c r="L675" s="32">
        <f t="shared" si="76"/>
        <v>79.991595689319666</v>
      </c>
      <c r="M675" s="32">
        <f t="shared" si="75"/>
        <v>79.991595689319666</v>
      </c>
    </row>
    <row r="676" spans="2:13" x14ac:dyDescent="0.25">
      <c r="B676" s="31">
        <v>536</v>
      </c>
      <c r="C676" s="32">
        <f t="shared" si="71"/>
        <v>10.71999999999986</v>
      </c>
      <c r="D676" s="35">
        <f t="shared" si="72"/>
        <v>80</v>
      </c>
      <c r="E676" s="32">
        <f t="shared" si="76"/>
        <v>79.998475503168621</v>
      </c>
      <c r="F676" s="32">
        <f t="shared" si="76"/>
        <v>79.997002921248395</v>
      </c>
      <c r="G676" s="32">
        <f t="shared" si="76"/>
        <v>79.995632401250475</v>
      </c>
      <c r="H676" s="32">
        <f t="shared" si="76"/>
        <v>79.994410614589597</v>
      </c>
      <c r="I676" s="32">
        <f t="shared" si="76"/>
        <v>79.993379167745132</v>
      </c>
      <c r="J676" s="32">
        <f t="shared" si="76"/>
        <v>79.992573185402321</v>
      </c>
      <c r="K676" s="32">
        <f t="shared" si="76"/>
        <v>79.992020114323125</v>
      </c>
      <c r="L676" s="32">
        <f t="shared" si="76"/>
        <v>79.991738788679854</v>
      </c>
      <c r="M676" s="32">
        <f t="shared" si="75"/>
        <v>79.991738788679854</v>
      </c>
    </row>
    <row r="677" spans="2:13" x14ac:dyDescent="0.25">
      <c r="B677" s="31">
        <v>537</v>
      </c>
      <c r="C677" s="32">
        <f t="shared" si="71"/>
        <v>10.73999999999986</v>
      </c>
      <c r="D677" s="35">
        <f t="shared" si="72"/>
        <v>80</v>
      </c>
      <c r="E677" s="32">
        <f t="shared" si="76"/>
        <v>79.998501460624198</v>
      </c>
      <c r="F677" s="32">
        <f t="shared" si="76"/>
        <v>79.997053952209541</v>
      </c>
      <c r="G677" s="32">
        <f t="shared" si="76"/>
        <v>79.995706767918989</v>
      </c>
      <c r="H677" s="32">
        <f t="shared" si="76"/>
        <v>79.994505784497804</v>
      </c>
      <c r="I677" s="32">
        <f t="shared" si="76"/>
        <v>79.993491899995959</v>
      </c>
      <c r="J677" s="32">
        <f t="shared" si="76"/>
        <v>79.992699641034136</v>
      </c>
      <c r="K677" s="32">
        <f t="shared" si="76"/>
        <v>79.992155987041087</v>
      </c>
      <c r="L677" s="32">
        <f t="shared" si="76"/>
        <v>79.991879451501489</v>
      </c>
      <c r="M677" s="32">
        <f t="shared" si="75"/>
        <v>79.991879451501489</v>
      </c>
    </row>
    <row r="678" spans="2:13" x14ac:dyDescent="0.25">
      <c r="B678" s="31">
        <v>538</v>
      </c>
      <c r="C678" s="32">
        <f t="shared" si="71"/>
        <v>10.759999999999859</v>
      </c>
      <c r="D678" s="35">
        <f t="shared" si="72"/>
        <v>80</v>
      </c>
      <c r="E678" s="32">
        <f t="shared" ref="E678:L693" si="77">(D677+F677)/2</f>
        <v>79.99852697610477</v>
      </c>
      <c r="F678" s="32">
        <f t="shared" si="77"/>
        <v>79.997104114271593</v>
      </c>
      <c r="G678" s="32">
        <f t="shared" si="77"/>
        <v>79.995779868353679</v>
      </c>
      <c r="H678" s="32">
        <f t="shared" si="77"/>
        <v>79.994599333957467</v>
      </c>
      <c r="I678" s="32">
        <f t="shared" si="77"/>
        <v>79.993602712765977</v>
      </c>
      <c r="J678" s="32">
        <f t="shared" si="77"/>
        <v>79.992823943518516</v>
      </c>
      <c r="K678" s="32">
        <f t="shared" si="77"/>
        <v>79.992289546267813</v>
      </c>
      <c r="L678" s="32">
        <f t="shared" si="77"/>
        <v>79.992017719271288</v>
      </c>
      <c r="M678" s="32">
        <f t="shared" si="75"/>
        <v>79.992017719271288</v>
      </c>
    </row>
    <row r="679" spans="2:13" x14ac:dyDescent="0.25">
      <c r="B679" s="31">
        <v>539</v>
      </c>
      <c r="C679" s="32">
        <f t="shared" si="71"/>
        <v>10.779999999999859</v>
      </c>
      <c r="D679" s="35">
        <f t="shared" si="72"/>
        <v>80</v>
      </c>
      <c r="E679" s="32">
        <f t="shared" si="77"/>
        <v>79.998552057135797</v>
      </c>
      <c r="F679" s="32">
        <f t="shared" si="77"/>
        <v>79.997153422229218</v>
      </c>
      <c r="G679" s="32">
        <f t="shared" si="77"/>
        <v>79.99585172411453</v>
      </c>
      <c r="H679" s="32">
        <f t="shared" si="77"/>
        <v>79.994691290559828</v>
      </c>
      <c r="I679" s="32">
        <f t="shared" si="77"/>
        <v>79.993711638737992</v>
      </c>
      <c r="J679" s="32">
        <f t="shared" si="77"/>
        <v>79.992946129516895</v>
      </c>
      <c r="K679" s="32">
        <f t="shared" si="77"/>
        <v>79.992420831394895</v>
      </c>
      <c r="L679" s="32">
        <f t="shared" si="77"/>
        <v>79.992153632769543</v>
      </c>
      <c r="M679" s="32">
        <f t="shared" si="75"/>
        <v>79.992153632769543</v>
      </c>
    </row>
    <row r="680" spans="2:13" x14ac:dyDescent="0.25">
      <c r="B680" s="31">
        <v>540</v>
      </c>
      <c r="C680" s="32">
        <f t="shared" si="71"/>
        <v>10.799999999999859</v>
      </c>
      <c r="D680" s="35">
        <f t="shared" si="72"/>
        <v>80</v>
      </c>
      <c r="E680" s="32">
        <f t="shared" si="77"/>
        <v>79.998576711114609</v>
      </c>
      <c r="F680" s="32">
        <f t="shared" si="77"/>
        <v>79.997201890625163</v>
      </c>
      <c r="G680" s="32">
        <f t="shared" si="77"/>
        <v>79.995922356394516</v>
      </c>
      <c r="H680" s="32">
        <f t="shared" si="77"/>
        <v>79.994781681426261</v>
      </c>
      <c r="I680" s="32">
        <f t="shared" si="77"/>
        <v>79.993818710038369</v>
      </c>
      <c r="J680" s="32">
        <f t="shared" si="77"/>
        <v>79.993066235066436</v>
      </c>
      <c r="K680" s="32">
        <f t="shared" si="77"/>
        <v>79.992549881143219</v>
      </c>
      <c r="L680" s="32">
        <f t="shared" si="77"/>
        <v>79.992287232082219</v>
      </c>
      <c r="M680" s="32">
        <f t="shared" si="75"/>
        <v>79.992287232082219</v>
      </c>
    </row>
    <row r="681" spans="2:13" x14ac:dyDescent="0.25">
      <c r="B681" s="31">
        <v>541</v>
      </c>
      <c r="C681" s="32">
        <f t="shared" si="71"/>
        <v>10.819999999999858</v>
      </c>
      <c r="D681" s="35">
        <f t="shared" si="72"/>
        <v>80</v>
      </c>
      <c r="E681" s="32">
        <f t="shared" si="77"/>
        <v>79.998600945312575</v>
      </c>
      <c r="F681" s="32">
        <f t="shared" si="77"/>
        <v>79.997249533754569</v>
      </c>
      <c r="G681" s="32">
        <f t="shared" si="77"/>
        <v>79.995991786025712</v>
      </c>
      <c r="H681" s="32">
        <f t="shared" si="77"/>
        <v>79.994870533216442</v>
      </c>
      <c r="I681" s="32">
        <f t="shared" si="77"/>
        <v>79.993923958246341</v>
      </c>
      <c r="J681" s="32">
        <f t="shared" si="77"/>
        <v>79.993184295590794</v>
      </c>
      <c r="K681" s="32">
        <f t="shared" si="77"/>
        <v>79.992676733574328</v>
      </c>
      <c r="L681" s="32">
        <f t="shared" si="77"/>
        <v>79.992418556612719</v>
      </c>
      <c r="M681" s="32">
        <f t="shared" si="75"/>
        <v>79.992418556612719</v>
      </c>
    </row>
    <row r="682" spans="2:13" x14ac:dyDescent="0.25">
      <c r="B682" s="31">
        <v>542</v>
      </c>
      <c r="C682" s="32">
        <f t="shared" si="71"/>
        <v>10.839999999999858</v>
      </c>
      <c r="D682" s="35">
        <f t="shared" si="72"/>
        <v>80</v>
      </c>
      <c r="E682" s="32">
        <f t="shared" si="77"/>
        <v>79.998624766877285</v>
      </c>
      <c r="F682" s="32">
        <f t="shared" si="77"/>
        <v>79.997296365669143</v>
      </c>
      <c r="G682" s="32">
        <f t="shared" si="77"/>
        <v>79.996060033485506</v>
      </c>
      <c r="H682" s="32">
        <f t="shared" si="77"/>
        <v>79.994957872136027</v>
      </c>
      <c r="I682" s="32">
        <f t="shared" si="77"/>
        <v>79.994027414403618</v>
      </c>
      <c r="J682" s="32">
        <f t="shared" si="77"/>
        <v>79.993300345910342</v>
      </c>
      <c r="K682" s="32">
        <f t="shared" si="77"/>
        <v>79.992801426101749</v>
      </c>
      <c r="L682" s="32">
        <f t="shared" si="77"/>
        <v>79.992547645093524</v>
      </c>
      <c r="M682" s="32">
        <f t="shared" si="75"/>
        <v>79.992547645093524</v>
      </c>
    </row>
    <row r="683" spans="2:13" x14ac:dyDescent="0.25">
      <c r="B683" s="31">
        <v>543</v>
      </c>
      <c r="C683" s="32">
        <f t="shared" si="71"/>
        <v>10.859999999999857</v>
      </c>
      <c r="D683" s="35">
        <f t="shared" si="72"/>
        <v>80</v>
      </c>
      <c r="E683" s="32">
        <f t="shared" si="77"/>
        <v>79.998648182834572</v>
      </c>
      <c r="F683" s="32">
        <f t="shared" si="77"/>
        <v>79.997342400181395</v>
      </c>
      <c r="G683" s="32">
        <f t="shared" si="77"/>
        <v>79.996127118902592</v>
      </c>
      <c r="H683" s="32">
        <f t="shared" si="77"/>
        <v>79.995043723944562</v>
      </c>
      <c r="I683" s="32">
        <f t="shared" si="77"/>
        <v>79.994129109023191</v>
      </c>
      <c r="J683" s="32">
        <f t="shared" si="77"/>
        <v>79.993414420252691</v>
      </c>
      <c r="K683" s="32">
        <f t="shared" si="77"/>
        <v>79.99292399550194</v>
      </c>
      <c r="L683" s="32">
        <f t="shared" si="77"/>
        <v>79.992674535597644</v>
      </c>
      <c r="M683" s="32">
        <f t="shared" si="75"/>
        <v>79.992674535597644</v>
      </c>
    </row>
    <row r="684" spans="2:13" x14ac:dyDescent="0.25">
      <c r="B684" s="31">
        <v>544</v>
      </c>
      <c r="C684" s="32">
        <f t="shared" si="71"/>
        <v>10.879999999999857</v>
      </c>
      <c r="D684" s="35">
        <f t="shared" si="72"/>
        <v>80</v>
      </c>
      <c r="E684" s="32">
        <f t="shared" si="77"/>
        <v>79.998671200090698</v>
      </c>
      <c r="F684" s="32">
        <f t="shared" si="77"/>
        <v>79.997387650868575</v>
      </c>
      <c r="G684" s="32">
        <f t="shared" si="77"/>
        <v>79.996193062062986</v>
      </c>
      <c r="H684" s="32">
        <f t="shared" si="77"/>
        <v>79.995128113962892</v>
      </c>
      <c r="I684" s="32">
        <f t="shared" si="77"/>
        <v>79.994229072098619</v>
      </c>
      <c r="J684" s="32">
        <f t="shared" si="77"/>
        <v>79.993526552262566</v>
      </c>
      <c r="K684" s="32">
        <f t="shared" si="77"/>
        <v>79.993044477925167</v>
      </c>
      <c r="L684" s="32">
        <f t="shared" si="77"/>
        <v>79.992799265549792</v>
      </c>
      <c r="M684" s="32">
        <f t="shared" si="75"/>
        <v>79.992799265549792</v>
      </c>
    </row>
    <row r="685" spans="2:13" x14ac:dyDescent="0.25">
      <c r="B685" s="31">
        <v>545</v>
      </c>
      <c r="C685" s="32">
        <f t="shared" si="71"/>
        <v>10.899999999999856</v>
      </c>
      <c r="D685" s="35">
        <f t="shared" si="72"/>
        <v>80</v>
      </c>
      <c r="E685" s="32">
        <f t="shared" si="77"/>
        <v>79.998693825434287</v>
      </c>
      <c r="F685" s="32">
        <f t="shared" si="77"/>
        <v>79.997432131076835</v>
      </c>
      <c r="G685" s="32">
        <f t="shared" si="77"/>
        <v>79.996257882415733</v>
      </c>
      <c r="H685" s="32">
        <f t="shared" si="77"/>
        <v>79.995211067080803</v>
      </c>
      <c r="I685" s="32">
        <f t="shared" si="77"/>
        <v>79.994327333112722</v>
      </c>
      <c r="J685" s="32">
        <f t="shared" si="77"/>
        <v>79.993636775011893</v>
      </c>
      <c r="K685" s="32">
        <f t="shared" si="77"/>
        <v>79.993162908906186</v>
      </c>
      <c r="L685" s="32">
        <f t="shared" si="77"/>
        <v>79.992921871737479</v>
      </c>
      <c r="M685" s="32">
        <f t="shared" si="75"/>
        <v>79.992921871737479</v>
      </c>
    </row>
    <row r="686" spans="2:13" x14ac:dyDescent="0.25">
      <c r="B686" s="31">
        <v>546</v>
      </c>
      <c r="C686" s="32">
        <f t="shared" si="71"/>
        <v>10.919999999999856</v>
      </c>
      <c r="D686" s="35">
        <f t="shared" si="72"/>
        <v>80</v>
      </c>
      <c r="E686" s="32">
        <f t="shared" si="77"/>
        <v>79.998716065538417</v>
      </c>
      <c r="F686" s="32">
        <f t="shared" si="77"/>
        <v>79.99747585392501</v>
      </c>
      <c r="G686" s="32">
        <f t="shared" si="77"/>
        <v>79.996321599078811</v>
      </c>
      <c r="H686" s="32">
        <f t="shared" si="77"/>
        <v>79.995292607764227</v>
      </c>
      <c r="I686" s="32">
        <f t="shared" si="77"/>
        <v>79.994423921046348</v>
      </c>
      <c r="J686" s="32">
        <f t="shared" si="77"/>
        <v>79.993745121009454</v>
      </c>
      <c r="K686" s="32">
        <f t="shared" si="77"/>
        <v>79.993279323374679</v>
      </c>
      <c r="L686" s="32">
        <f t="shared" si="77"/>
        <v>79.993042390321833</v>
      </c>
      <c r="M686" s="32">
        <f t="shared" si="75"/>
        <v>79.993042390321833</v>
      </c>
    </row>
    <row r="687" spans="2:13" x14ac:dyDescent="0.25">
      <c r="B687" s="31">
        <v>547</v>
      </c>
      <c r="C687" s="32">
        <f t="shared" si="71"/>
        <v>10.939999999999856</v>
      </c>
      <c r="D687" s="35">
        <f t="shared" si="72"/>
        <v>80</v>
      </c>
      <c r="E687" s="32">
        <f t="shared" si="77"/>
        <v>79.998737926962505</v>
      </c>
      <c r="F687" s="32">
        <f t="shared" si="77"/>
        <v>79.997518832308614</v>
      </c>
      <c r="G687" s="32">
        <f t="shared" si="77"/>
        <v>79.996384230844626</v>
      </c>
      <c r="H687" s="32">
        <f t="shared" si="77"/>
        <v>79.99537276006258</v>
      </c>
      <c r="I687" s="32">
        <f t="shared" si="77"/>
        <v>79.994518864386833</v>
      </c>
      <c r="J687" s="32">
        <f t="shared" si="77"/>
        <v>79.993851622210514</v>
      </c>
      <c r="K687" s="32">
        <f t="shared" si="77"/>
        <v>79.993393755665636</v>
      </c>
      <c r="L687" s="32">
        <f t="shared" si="77"/>
        <v>79.993160856848249</v>
      </c>
      <c r="M687" s="32">
        <f t="shared" si="75"/>
        <v>79.993160856848249</v>
      </c>
    </row>
    <row r="688" spans="2:13" x14ac:dyDescent="0.25">
      <c r="B688" s="31">
        <v>548</v>
      </c>
      <c r="C688" s="32">
        <f t="shared" si="71"/>
        <v>10.959999999999855</v>
      </c>
      <c r="D688" s="35">
        <f t="shared" si="72"/>
        <v>80</v>
      </c>
      <c r="E688" s="32">
        <f t="shared" si="77"/>
        <v>79.998759416154314</v>
      </c>
      <c r="F688" s="32">
        <f t="shared" si="77"/>
        <v>79.997561078903573</v>
      </c>
      <c r="G688" s="32">
        <f t="shared" si="77"/>
        <v>79.996445796185597</v>
      </c>
      <c r="H688" s="32">
        <f t="shared" si="77"/>
        <v>79.99545154761573</v>
      </c>
      <c r="I688" s="32">
        <f t="shared" si="77"/>
        <v>79.994612191136554</v>
      </c>
      <c r="J688" s="32">
        <f t="shared" si="77"/>
        <v>79.993956310026235</v>
      </c>
      <c r="K688" s="32">
        <f t="shared" si="77"/>
        <v>79.993506239529381</v>
      </c>
      <c r="L688" s="32">
        <f t="shared" si="77"/>
        <v>79.993277306256942</v>
      </c>
      <c r="M688" s="32">
        <f t="shared" si="75"/>
        <v>79.993277306256942</v>
      </c>
    </row>
    <row r="689" spans="2:13" x14ac:dyDescent="0.25">
      <c r="B689" s="31">
        <v>549</v>
      </c>
      <c r="C689" s="32">
        <f t="shared" si="71"/>
        <v>10.979999999999855</v>
      </c>
      <c r="D689" s="35">
        <f t="shared" si="72"/>
        <v>80</v>
      </c>
      <c r="E689" s="32">
        <f t="shared" si="77"/>
        <v>79.998780539451786</v>
      </c>
      <c r="F689" s="32">
        <f t="shared" si="77"/>
        <v>79.997602606169949</v>
      </c>
      <c r="G689" s="32">
        <f t="shared" si="77"/>
        <v>79.996506313259658</v>
      </c>
      <c r="H689" s="32">
        <f t="shared" si="77"/>
        <v>79.995528993661082</v>
      </c>
      <c r="I689" s="32">
        <f t="shared" si="77"/>
        <v>79.994703928820982</v>
      </c>
      <c r="J689" s="32">
        <f t="shared" si="77"/>
        <v>79.994059215332967</v>
      </c>
      <c r="K689" s="32">
        <f t="shared" si="77"/>
        <v>79.993616808141581</v>
      </c>
      <c r="L689" s="32">
        <f t="shared" si="77"/>
        <v>79.993391772893162</v>
      </c>
      <c r="M689" s="32">
        <f t="shared" si="75"/>
        <v>79.993391772893162</v>
      </c>
    </row>
    <row r="690" spans="2:13" x14ac:dyDescent="0.25">
      <c r="B690" s="31">
        <v>550</v>
      </c>
      <c r="C690" s="32">
        <f t="shared" si="71"/>
        <v>10.999999999999854</v>
      </c>
      <c r="D690" s="35">
        <f t="shared" si="72"/>
        <v>80</v>
      </c>
      <c r="E690" s="32">
        <f t="shared" si="77"/>
        <v>79.998801303084974</v>
      </c>
      <c r="F690" s="32">
        <f t="shared" si="77"/>
        <v>79.997643426355722</v>
      </c>
      <c r="G690" s="32">
        <f t="shared" si="77"/>
        <v>79.996565799915516</v>
      </c>
      <c r="H690" s="32">
        <f t="shared" si="77"/>
        <v>79.995605121040313</v>
      </c>
      <c r="I690" s="32">
        <f t="shared" si="77"/>
        <v>79.994794104497032</v>
      </c>
      <c r="J690" s="32">
        <f t="shared" si="77"/>
        <v>79.994160368481289</v>
      </c>
      <c r="K690" s="32">
        <f t="shared" si="77"/>
        <v>79.993725494113065</v>
      </c>
      <c r="L690" s="32">
        <f t="shared" si="77"/>
        <v>79.993504290517365</v>
      </c>
      <c r="M690" s="32">
        <f t="shared" si="75"/>
        <v>79.993504290517365</v>
      </c>
    </row>
    <row r="691" spans="2:13" x14ac:dyDescent="0.25">
      <c r="B691" s="31">
        <v>551</v>
      </c>
      <c r="C691" s="32">
        <f t="shared" si="71"/>
        <v>11.019999999999854</v>
      </c>
      <c r="D691" s="35">
        <f t="shared" si="72"/>
        <v>80</v>
      </c>
      <c r="E691" s="32">
        <f t="shared" si="77"/>
        <v>79.998821713177861</v>
      </c>
      <c r="F691" s="32">
        <f t="shared" si="77"/>
        <v>79.997683551500245</v>
      </c>
      <c r="G691" s="32">
        <f t="shared" si="77"/>
        <v>79.996624273698018</v>
      </c>
      <c r="H691" s="32">
        <f t="shared" si="77"/>
        <v>79.995679952206274</v>
      </c>
      <c r="I691" s="32">
        <f t="shared" si="77"/>
        <v>79.994882744760801</v>
      </c>
      <c r="J691" s="32">
        <f t="shared" si="77"/>
        <v>79.994259799305041</v>
      </c>
      <c r="K691" s="32">
        <f t="shared" si="77"/>
        <v>79.993832329499327</v>
      </c>
      <c r="L691" s="32">
        <f t="shared" si="77"/>
        <v>79.993614892315207</v>
      </c>
      <c r="M691" s="32">
        <f t="shared" si="75"/>
        <v>79.993614892315207</v>
      </c>
    </row>
    <row r="692" spans="2:13" x14ac:dyDescent="0.25">
      <c r="B692" s="31">
        <v>552</v>
      </c>
      <c r="C692" s="32">
        <f t="shared" si="71"/>
        <v>11.039999999999853</v>
      </c>
      <c r="D692" s="35">
        <f t="shared" si="72"/>
        <v>80</v>
      </c>
      <c r="E692" s="32">
        <f t="shared" si="77"/>
        <v>79.998841775750122</v>
      </c>
      <c r="F692" s="32">
        <f t="shared" si="77"/>
        <v>79.997722993437947</v>
      </c>
      <c r="G692" s="32">
        <f t="shared" si="77"/>
        <v>79.996681751853259</v>
      </c>
      <c r="H692" s="32">
        <f t="shared" si="77"/>
        <v>79.995753509229417</v>
      </c>
      <c r="I692" s="32">
        <f t="shared" si="77"/>
        <v>79.994969875755658</v>
      </c>
      <c r="J692" s="32">
        <f t="shared" si="77"/>
        <v>79.994357537130071</v>
      </c>
      <c r="K692" s="32">
        <f t="shared" si="77"/>
        <v>79.993937345810124</v>
      </c>
      <c r="L692" s="32">
        <f t="shared" si="77"/>
        <v>79.993723610907267</v>
      </c>
      <c r="M692" s="32">
        <f t="shared" si="75"/>
        <v>79.993723610907267</v>
      </c>
    </row>
    <row r="693" spans="2:13" x14ac:dyDescent="0.25">
      <c r="B693" s="31">
        <v>553</v>
      </c>
      <c r="C693" s="32">
        <f t="shared" si="71"/>
        <v>11.059999999999853</v>
      </c>
      <c r="D693" s="35">
        <f t="shared" si="72"/>
        <v>80</v>
      </c>
      <c r="E693" s="32">
        <f t="shared" si="77"/>
        <v>79.998861496718973</v>
      </c>
      <c r="F693" s="32">
        <f t="shared" si="77"/>
        <v>79.997761763801691</v>
      </c>
      <c r="G693" s="32">
        <f t="shared" si="77"/>
        <v>79.996738251333682</v>
      </c>
      <c r="H693" s="32">
        <f t="shared" si="77"/>
        <v>79.995825813804458</v>
      </c>
      <c r="I693" s="32">
        <f t="shared" si="77"/>
        <v>79.995055523179744</v>
      </c>
      <c r="J693" s="32">
        <f t="shared" si="77"/>
        <v>79.994453610782898</v>
      </c>
      <c r="K693" s="32">
        <f t="shared" si="77"/>
        <v>79.994040574018669</v>
      </c>
      <c r="L693" s="32">
        <f t="shared" si="77"/>
        <v>79.993830478358689</v>
      </c>
      <c r="M693" s="32">
        <f t="shared" si="75"/>
        <v>79.993830478358689</v>
      </c>
    </row>
    <row r="694" spans="2:13" x14ac:dyDescent="0.25">
      <c r="B694" s="31">
        <v>554</v>
      </c>
      <c r="C694" s="32">
        <f t="shared" si="71"/>
        <v>11.079999999999853</v>
      </c>
      <c r="D694" s="35">
        <f t="shared" si="72"/>
        <v>80</v>
      </c>
      <c r="E694" s="32">
        <f t="shared" ref="E694:L706" si="78">(D693+F693)/2</f>
        <v>79.998880881900845</v>
      </c>
      <c r="F694" s="32">
        <f t="shared" si="78"/>
        <v>79.997799874026327</v>
      </c>
      <c r="G694" s="32">
        <f t="shared" si="78"/>
        <v>79.996793788803075</v>
      </c>
      <c r="H694" s="32">
        <f t="shared" si="78"/>
        <v>79.99589688725672</v>
      </c>
      <c r="I694" s="32">
        <f t="shared" si="78"/>
        <v>79.995139712293678</v>
      </c>
      <c r="J694" s="32">
        <f t="shared" si="78"/>
        <v>79.994548048599199</v>
      </c>
      <c r="K694" s="32">
        <f t="shared" si="78"/>
        <v>79.994142044570793</v>
      </c>
      <c r="L694" s="32">
        <f t="shared" si="78"/>
        <v>79.993935526188679</v>
      </c>
      <c r="M694" s="32">
        <f t="shared" si="75"/>
        <v>79.993935526188679</v>
      </c>
    </row>
    <row r="695" spans="2:13" x14ac:dyDescent="0.25">
      <c r="B695" s="31">
        <v>555</v>
      </c>
      <c r="C695" s="32">
        <f t="shared" si="71"/>
        <v>11.099999999999852</v>
      </c>
      <c r="D695" s="35">
        <f t="shared" si="72"/>
        <v>80</v>
      </c>
      <c r="E695" s="32">
        <f t="shared" si="78"/>
        <v>79.998899937013164</v>
      </c>
      <c r="F695" s="32">
        <f t="shared" si="78"/>
        <v>79.99783733535196</v>
      </c>
      <c r="G695" s="32">
        <f t="shared" si="78"/>
        <v>79.996848380641524</v>
      </c>
      <c r="H695" s="32">
        <f t="shared" si="78"/>
        <v>79.995966750548376</v>
      </c>
      <c r="I695" s="32">
        <f t="shared" si="78"/>
        <v>79.99522246792796</v>
      </c>
      <c r="J695" s="32">
        <f t="shared" si="78"/>
        <v>79.994640878432236</v>
      </c>
      <c r="K695" s="32">
        <f t="shared" si="78"/>
        <v>79.994241787393946</v>
      </c>
      <c r="L695" s="32">
        <f t="shared" si="78"/>
        <v>79.994038785379729</v>
      </c>
      <c r="M695" s="32">
        <f t="shared" si="75"/>
        <v>79.994038785379729</v>
      </c>
    </row>
    <row r="696" spans="2:13" x14ac:dyDescent="0.25">
      <c r="B696" s="31">
        <v>556</v>
      </c>
      <c r="C696" s="32">
        <f t="shared" si="71"/>
        <v>11.119999999999852</v>
      </c>
      <c r="D696" s="35">
        <f t="shared" si="72"/>
        <v>80</v>
      </c>
      <c r="E696" s="32">
        <f t="shared" si="78"/>
        <v>79.99891866767598</v>
      </c>
      <c r="F696" s="32">
        <f t="shared" si="78"/>
        <v>79.997874158827344</v>
      </c>
      <c r="G696" s="32">
        <f t="shared" si="78"/>
        <v>79.996902042950168</v>
      </c>
      <c r="H696" s="32">
        <f t="shared" si="78"/>
        <v>79.996035424284742</v>
      </c>
      <c r="I696" s="32">
        <f t="shared" si="78"/>
        <v>79.995303814490313</v>
      </c>
      <c r="J696" s="32">
        <f t="shared" si="78"/>
        <v>79.994732127660953</v>
      </c>
      <c r="K696" s="32">
        <f t="shared" si="78"/>
        <v>79.99433983190599</v>
      </c>
      <c r="L696" s="32">
        <f t="shared" si="78"/>
        <v>79.994140286386838</v>
      </c>
      <c r="M696" s="32">
        <f t="shared" si="75"/>
        <v>79.994140286386838</v>
      </c>
    </row>
    <row r="697" spans="2:13" x14ac:dyDescent="0.25">
      <c r="B697" s="31">
        <v>557</v>
      </c>
      <c r="C697" s="32">
        <f t="shared" si="71"/>
        <v>11.139999999999851</v>
      </c>
      <c r="D697" s="35">
        <f t="shared" si="72"/>
        <v>80</v>
      </c>
      <c r="E697" s="32">
        <f t="shared" si="78"/>
        <v>79.998937079413679</v>
      </c>
      <c r="F697" s="32">
        <f t="shared" si="78"/>
        <v>79.997910355313081</v>
      </c>
      <c r="G697" s="32">
        <f t="shared" si="78"/>
        <v>79.99695479155605</v>
      </c>
      <c r="H697" s="32">
        <f t="shared" si="78"/>
        <v>79.996102928720234</v>
      </c>
      <c r="I697" s="32">
        <f t="shared" si="78"/>
        <v>79.99538377597284</v>
      </c>
      <c r="J697" s="32">
        <f t="shared" si="78"/>
        <v>79.994821823198151</v>
      </c>
      <c r="K697" s="32">
        <f t="shared" si="78"/>
        <v>79.994436207023895</v>
      </c>
      <c r="L697" s="32">
        <f t="shared" si="78"/>
        <v>79.994240059146421</v>
      </c>
      <c r="M697" s="32">
        <f t="shared" si="75"/>
        <v>79.994240059146421</v>
      </c>
    </row>
    <row r="698" spans="2:13" x14ac:dyDescent="0.25">
      <c r="B698" s="31">
        <v>558</v>
      </c>
      <c r="C698" s="32">
        <f t="shared" si="71"/>
        <v>11.159999999999851</v>
      </c>
      <c r="D698" s="35">
        <f t="shared" si="72"/>
        <v>80</v>
      </c>
      <c r="E698" s="32">
        <f t="shared" si="78"/>
        <v>79.998955177656541</v>
      </c>
      <c r="F698" s="32">
        <f t="shared" si="78"/>
        <v>79.997945935484864</v>
      </c>
      <c r="G698" s="32">
        <f t="shared" si="78"/>
        <v>79.997006642016657</v>
      </c>
      <c r="H698" s="32">
        <f t="shared" si="78"/>
        <v>79.996169283764445</v>
      </c>
      <c r="I698" s="32">
        <f t="shared" si="78"/>
        <v>79.995462375959193</v>
      </c>
      <c r="J698" s="32">
        <f t="shared" si="78"/>
        <v>79.994909991498361</v>
      </c>
      <c r="K698" s="32">
        <f t="shared" si="78"/>
        <v>79.994530941172286</v>
      </c>
      <c r="L698" s="32">
        <f t="shared" si="78"/>
        <v>79.994338133085165</v>
      </c>
      <c r="M698" s="32">
        <f t="shared" si="75"/>
        <v>79.994338133085165</v>
      </c>
    </row>
    <row r="699" spans="2:13" x14ac:dyDescent="0.25">
      <c r="B699" s="31">
        <v>559</v>
      </c>
      <c r="C699" s="32">
        <f t="shared" si="71"/>
        <v>11.179999999999851</v>
      </c>
      <c r="D699" s="35">
        <f t="shared" si="72"/>
        <v>80</v>
      </c>
      <c r="E699" s="32">
        <f t="shared" si="78"/>
        <v>79.998972967742432</v>
      </c>
      <c r="F699" s="32">
        <f t="shared" si="78"/>
        <v>79.997980909836599</v>
      </c>
      <c r="G699" s="32">
        <f t="shared" si="78"/>
        <v>79.997057609624648</v>
      </c>
      <c r="H699" s="32">
        <f t="shared" si="78"/>
        <v>79.996234508987925</v>
      </c>
      <c r="I699" s="32">
        <f t="shared" si="78"/>
        <v>79.995539637631396</v>
      </c>
      <c r="J699" s="32">
        <f t="shared" si="78"/>
        <v>79.994996658565739</v>
      </c>
      <c r="K699" s="32">
        <f t="shared" si="78"/>
        <v>79.994624062291763</v>
      </c>
      <c r="L699" s="32">
        <f t="shared" si="78"/>
        <v>79.994434537128726</v>
      </c>
      <c r="M699" s="32">
        <f t="shared" si="75"/>
        <v>79.994434537128726</v>
      </c>
    </row>
    <row r="700" spans="2:13" x14ac:dyDescent="0.25">
      <c r="B700" s="31">
        <v>560</v>
      </c>
      <c r="C700" s="32">
        <f t="shared" si="71"/>
        <v>11.19999999999985</v>
      </c>
      <c r="D700" s="35">
        <f t="shared" si="72"/>
        <v>80</v>
      </c>
      <c r="E700" s="32">
        <f t="shared" si="78"/>
        <v>79.9989904549183</v>
      </c>
      <c r="F700" s="32">
        <f t="shared" si="78"/>
        <v>79.998015288683547</v>
      </c>
      <c r="G700" s="32">
        <f t="shared" si="78"/>
        <v>79.997107709412262</v>
      </c>
      <c r="H700" s="32">
        <f t="shared" si="78"/>
        <v>79.996298623628022</v>
      </c>
      <c r="I700" s="32">
        <f t="shared" si="78"/>
        <v>79.995615583776839</v>
      </c>
      <c r="J700" s="32">
        <f t="shared" si="78"/>
        <v>79.995081849961579</v>
      </c>
      <c r="K700" s="32">
        <f t="shared" si="78"/>
        <v>79.994715597847232</v>
      </c>
      <c r="L700" s="32">
        <f t="shared" si="78"/>
        <v>79.994529299710251</v>
      </c>
      <c r="M700" s="32">
        <f t="shared" si="75"/>
        <v>79.994529299710251</v>
      </c>
    </row>
    <row r="701" spans="2:13" x14ac:dyDescent="0.25">
      <c r="B701" s="31">
        <v>561</v>
      </c>
      <c r="C701" s="32">
        <f t="shared" si="71"/>
        <v>11.21999999999985</v>
      </c>
      <c r="D701" s="35">
        <f t="shared" si="72"/>
        <v>80</v>
      </c>
      <c r="E701" s="32">
        <f t="shared" si="78"/>
        <v>79.999007644341773</v>
      </c>
      <c r="F701" s="32">
        <f t="shared" si="78"/>
        <v>79.998049082165281</v>
      </c>
      <c r="G701" s="32">
        <f t="shared" si="78"/>
        <v>79.997156956155777</v>
      </c>
      <c r="H701" s="32">
        <f t="shared" si="78"/>
        <v>79.996361646594551</v>
      </c>
      <c r="I701" s="32">
        <f t="shared" si="78"/>
        <v>79.9956902367948</v>
      </c>
      <c r="J701" s="32">
        <f t="shared" si="78"/>
        <v>79.995165590812036</v>
      </c>
      <c r="K701" s="32">
        <f t="shared" si="78"/>
        <v>79.994805574835908</v>
      </c>
      <c r="L701" s="32">
        <f t="shared" si="78"/>
        <v>79.994622448778742</v>
      </c>
      <c r="M701" s="32">
        <f t="shared" si="75"/>
        <v>79.994622448778742</v>
      </c>
    </row>
    <row r="702" spans="2:13" x14ac:dyDescent="0.25">
      <c r="B702" s="31">
        <v>562</v>
      </c>
      <c r="C702" s="32">
        <f t="shared" si="71"/>
        <v>11.239999999999849</v>
      </c>
      <c r="D702" s="35">
        <f t="shared" si="72"/>
        <v>80</v>
      </c>
      <c r="E702" s="32">
        <f t="shared" si="78"/>
        <v>79.999024541082633</v>
      </c>
      <c r="F702" s="32">
        <f t="shared" si="78"/>
        <v>79.998082300248768</v>
      </c>
      <c r="G702" s="32">
        <f t="shared" si="78"/>
        <v>79.997205364379909</v>
      </c>
      <c r="H702" s="32">
        <f t="shared" si="78"/>
        <v>79.996423596475296</v>
      </c>
      <c r="I702" s="32">
        <f t="shared" si="78"/>
        <v>79.995763618703293</v>
      </c>
      <c r="J702" s="32">
        <f t="shared" si="78"/>
        <v>79.995247905815347</v>
      </c>
      <c r="K702" s="32">
        <f t="shared" si="78"/>
        <v>79.994894019795396</v>
      </c>
      <c r="L702" s="32">
        <f t="shared" si="78"/>
        <v>79.994714011807332</v>
      </c>
      <c r="M702" s="32">
        <f t="shared" si="75"/>
        <v>79.994714011807332</v>
      </c>
    </row>
    <row r="703" spans="2:13" x14ac:dyDescent="0.25">
      <c r="B703" s="31">
        <v>563</v>
      </c>
      <c r="C703" s="32">
        <f t="shared" si="71"/>
        <v>11.259999999999849</v>
      </c>
      <c r="D703" s="35">
        <f t="shared" si="72"/>
        <v>80</v>
      </c>
      <c r="E703" s="32">
        <f t="shared" si="78"/>
        <v>79.999041150124384</v>
      </c>
      <c r="F703" s="32">
        <f t="shared" si="78"/>
        <v>79.998114952731271</v>
      </c>
      <c r="G703" s="32">
        <f t="shared" si="78"/>
        <v>79.997252948362032</v>
      </c>
      <c r="H703" s="32">
        <f t="shared" si="78"/>
        <v>79.996484491541594</v>
      </c>
      <c r="I703" s="32">
        <f t="shared" si="78"/>
        <v>79.995835751145322</v>
      </c>
      <c r="J703" s="32">
        <f t="shared" si="78"/>
        <v>79.995328819249352</v>
      </c>
      <c r="K703" s="32">
        <f t="shared" si="78"/>
        <v>79.99498095881134</v>
      </c>
      <c r="L703" s="32">
        <f t="shared" si="78"/>
        <v>79.994804015801364</v>
      </c>
      <c r="M703" s="32">
        <f t="shared" si="75"/>
        <v>79.994804015801364</v>
      </c>
    </row>
    <row r="704" spans="2:13" x14ac:dyDescent="0.25">
      <c r="B704" s="31">
        <v>564</v>
      </c>
      <c r="C704" s="32">
        <f t="shared" si="71"/>
        <v>11.279999999999848</v>
      </c>
      <c r="D704" s="35">
        <f t="shared" si="72"/>
        <v>80</v>
      </c>
      <c r="E704" s="32">
        <f t="shared" si="78"/>
        <v>79.999057476365635</v>
      </c>
      <c r="F704" s="32">
        <f t="shared" si="78"/>
        <v>79.998147049243215</v>
      </c>
      <c r="G704" s="32">
        <f t="shared" si="78"/>
        <v>79.997299722136432</v>
      </c>
      <c r="H704" s="32">
        <f t="shared" si="78"/>
        <v>79.996544349753677</v>
      </c>
      <c r="I704" s="32">
        <f t="shared" si="78"/>
        <v>79.995906655395473</v>
      </c>
      <c r="J704" s="32">
        <f t="shared" si="78"/>
        <v>79.995408354978338</v>
      </c>
      <c r="K704" s="32">
        <f t="shared" si="78"/>
        <v>79.995066417525351</v>
      </c>
      <c r="L704" s="32">
        <f t="shared" si="78"/>
        <v>79.994892487306345</v>
      </c>
      <c r="M704" s="32">
        <f t="shared" si="75"/>
        <v>79.994892487306345</v>
      </c>
    </row>
    <row r="705" spans="2:13" x14ac:dyDescent="0.25">
      <c r="B705" s="31">
        <v>565</v>
      </c>
      <c r="C705" s="32">
        <f t="shared" si="71"/>
        <v>11.299999999999848</v>
      </c>
      <c r="D705" s="35">
        <f t="shared" si="72"/>
        <v>80</v>
      </c>
      <c r="E705" s="32">
        <f t="shared" si="78"/>
        <v>79.999073524621608</v>
      </c>
      <c r="F705" s="32">
        <f t="shared" si="78"/>
        <v>79.998178599251034</v>
      </c>
      <c r="G705" s="32">
        <f t="shared" si="78"/>
        <v>79.997345699498453</v>
      </c>
      <c r="H705" s="32">
        <f t="shared" si="78"/>
        <v>79.99660318876596</v>
      </c>
      <c r="I705" s="32">
        <f t="shared" si="78"/>
        <v>79.995976352366</v>
      </c>
      <c r="J705" s="32">
        <f t="shared" si="78"/>
        <v>79.995486536460419</v>
      </c>
      <c r="K705" s="32">
        <f t="shared" si="78"/>
        <v>79.995150421142341</v>
      </c>
      <c r="L705" s="32">
        <f t="shared" si="78"/>
        <v>79.994979452415848</v>
      </c>
      <c r="M705" s="32">
        <f t="shared" si="75"/>
        <v>79.994979452415848</v>
      </c>
    </row>
    <row r="706" spans="2:13" x14ac:dyDescent="0.25">
      <c r="B706" s="33">
        <v>566</v>
      </c>
      <c r="C706" s="34">
        <f t="shared" si="71"/>
        <v>11.319999999999848</v>
      </c>
      <c r="D706" s="36">
        <f t="shared" si="72"/>
        <v>80</v>
      </c>
      <c r="E706" s="34">
        <f t="shared" si="78"/>
        <v>79.999089299625524</v>
      </c>
      <c r="F706" s="34">
        <f t="shared" si="78"/>
        <v>79.998209612060037</v>
      </c>
      <c r="G706" s="34">
        <f t="shared" si="78"/>
        <v>79.997390894008504</v>
      </c>
      <c r="H706" s="34">
        <f t="shared" si="78"/>
        <v>79.996661025932227</v>
      </c>
      <c r="I706" s="34">
        <f t="shared" si="78"/>
        <v>79.996044862613189</v>
      </c>
      <c r="J706" s="34">
        <f t="shared" si="78"/>
        <v>79.995563386754171</v>
      </c>
      <c r="K706" s="34">
        <f t="shared" si="78"/>
        <v>79.99523299443814</v>
      </c>
      <c r="L706" s="34">
        <f t="shared" si="78"/>
        <v>79.995064936779102</v>
      </c>
      <c r="M706" s="34">
        <f t="shared" si="75"/>
        <v>79.995064936779102</v>
      </c>
    </row>
    <row r="707" spans="2:13" x14ac:dyDescent="0.25">
      <c r="B707" s="31"/>
      <c r="C707" s="32"/>
      <c r="D707" s="35"/>
      <c r="E707" s="32"/>
      <c r="F707" s="32"/>
      <c r="G707" s="32"/>
      <c r="H707" s="32"/>
      <c r="I707" s="32"/>
      <c r="J707" s="32"/>
      <c r="K707" s="32"/>
      <c r="L707" s="32"/>
      <c r="M707" s="32"/>
    </row>
    <row r="708" spans="2:13" x14ac:dyDescent="0.25">
      <c r="B708" s="31"/>
      <c r="C708" s="32"/>
      <c r="D708" s="35"/>
      <c r="E708" s="32"/>
      <c r="F708" s="32"/>
      <c r="G708" s="32"/>
      <c r="H708" s="32"/>
      <c r="I708" s="32"/>
      <c r="J708" s="32"/>
      <c r="K708" s="32"/>
      <c r="L708" s="32"/>
      <c r="M708" s="32"/>
    </row>
    <row r="709" spans="2:13" x14ac:dyDescent="0.25">
      <c r="B709" s="31"/>
      <c r="C709" s="32"/>
      <c r="D709" s="35"/>
      <c r="E709" s="32"/>
      <c r="F709" s="32"/>
      <c r="G709" s="32"/>
      <c r="H709" s="32"/>
      <c r="I709" s="32"/>
      <c r="J709" s="32"/>
      <c r="K709" s="32"/>
      <c r="L709" s="32"/>
      <c r="M709" s="32"/>
    </row>
    <row r="710" spans="2:13" x14ac:dyDescent="0.25">
      <c r="B710" s="31"/>
      <c r="C710" s="32"/>
      <c r="D710" s="35"/>
      <c r="E710" s="32"/>
      <c r="F710" s="32"/>
      <c r="G710" s="32"/>
      <c r="H710" s="32"/>
      <c r="I710" s="32"/>
      <c r="J710" s="32"/>
      <c r="K710" s="32"/>
      <c r="L710" s="32"/>
      <c r="M710" s="3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Integração numérica - Trapézios</vt:lpstr>
      <vt:lpstr>Integração numérica - Simpson</vt:lpstr>
      <vt:lpstr>Equações Diferenciais - Euler</vt:lpstr>
      <vt:lpstr>Equações Diferenciais - Runge-K</vt:lpstr>
      <vt:lpstr>Ordem Superior - RK4</vt:lpstr>
      <vt:lpstr>EDDP</vt:lpstr>
      <vt:lpstr>EDDP - PARABOLICA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HENRIQUES RUEDI</dc:creator>
  <cp:lastModifiedBy>Thomas Machado</cp:lastModifiedBy>
  <dcterms:created xsi:type="dcterms:W3CDTF">2025-08-12T13:16:59Z</dcterms:created>
  <dcterms:modified xsi:type="dcterms:W3CDTF">2026-02-02T22:17:51Z</dcterms:modified>
</cp:coreProperties>
</file>